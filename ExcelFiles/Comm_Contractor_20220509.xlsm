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24226"/>
  <mc:AlternateContent xmlns:mc="http://schemas.openxmlformats.org/markup-compatibility/2006">
    <mc:Choice Requires="x15">
      <x15ac:absPath xmlns:x15ac="http://schemas.microsoft.com/office/spreadsheetml/2010/11/ac" url="https://d.docs.live.net/345d1610474a9baa/Quotey McQuoteface/Rating and Covermatch/On Quotey/"/>
    </mc:Choice>
  </mc:AlternateContent>
  <xr:revisionPtr revIDLastSave="66" documentId="8_{74A2B1A7-D666-4BD7-8B05-36FD3D5DDA18}" xr6:coauthVersionLast="47" xr6:coauthVersionMax="47" xr10:uidLastSave="{9233738B-B82C-434C-AC9F-B4906EC8821B}"/>
  <bookViews>
    <workbookView xWindow="-120" yWindow="-120" windowWidth="38640" windowHeight="21240" tabRatio="803" firstSheet="3" activeTab="5" xr2:uid="{00000000-000D-0000-FFFF-FFFF00000000}"/>
  </bookViews>
  <sheets>
    <sheet name="TableOfContents" sheetId="21" state="hidden" r:id="rId1"/>
    <sheet name="List" sheetId="2" state="hidden" r:id="rId2"/>
    <sheet name="Operations" sheetId="35" state="hidden" r:id="rId3"/>
    <sheet name="CMIG_NoWriteZones" sheetId="36" r:id="rId4"/>
    <sheet name="Test Sheet" sheetId="29" state="hidden" r:id="rId5"/>
    <sheet name="Map" sheetId="25" r:id="rId6"/>
    <sheet name="Calculator" sheetId="26" r:id="rId7"/>
    <sheet name="13.CommercialPKG - Factors" sheetId="12" r:id="rId8"/>
    <sheet name="11.OperationClass - Factors" sheetId="6" r:id="rId9"/>
    <sheet name="Drops" sheetId="31" r:id="rId10"/>
    <sheet name="OpsSearch" sheetId="32" r:id="rId11"/>
    <sheet name="1.CommPkgAptRetOffChurRealty" sheetId="1" r:id="rId12"/>
    <sheet name="2.ContractorsPackages" sheetId="5" r:id="rId13"/>
    <sheet name="ChargesAdditivemultiplicative" sheetId="9" state="hidden" r:id="rId14"/>
    <sheet name="3.Home Based Business" sheetId="8" r:id="rId15"/>
    <sheet name="4.CommMultiplicativeDiscSur" sheetId="14" r:id="rId16"/>
    <sheet name="5.CommBLDGCNTSRates - Algo_Rate" sheetId="11" r:id="rId17"/>
    <sheet name="6.CommFloaters - Algo_Rates" sheetId="17" r:id="rId18"/>
    <sheet name="7.AddtlCoverage - Algo_Rates" sheetId="18" r:id="rId19"/>
    <sheet name="8.CommercialLiabExt - Algo_Rate" sheetId="20" r:id="rId20"/>
    <sheet name="9.CommIncomeExpense - Algo_Rate" sheetId="15" r:id="rId21"/>
    <sheet name="CyberOneDataCompromise" sheetId="22" r:id="rId22"/>
    <sheet name="10.FloodEarthquake - Factors" sheetId="3" r:id="rId23"/>
    <sheet name="12.CommCrime - Flat Factors" sheetId="16" r:id="rId24"/>
    <sheet name="14.CommAdditiveDisc- Factors" sheetId="13" r:id="rId25"/>
    <sheet name="ProfessionE&amp;O" sheetId="23" r:id="rId26"/>
    <sheet name="Pollution" sheetId="24" r:id="rId27"/>
    <sheet name="CyberOneLimts" sheetId="33" r:id="rId28"/>
    <sheet name="DataCompromise" sheetId="34" r:id="rId29"/>
    <sheet name="BuildersRiskRates" sheetId="7" state="hidden" r:id="rId30"/>
  </sheets>
  <definedNames>
    <definedName name="_xlnm._FilterDatabase" localSheetId="3" hidden="1">CMIG_NoWriteZones!$A$1:$B$339</definedName>
    <definedName name="_xlnm._FilterDatabase" localSheetId="2" hidden="1">Operations!$A$1:$D$1003</definedName>
    <definedName name="_xlnm._FilterDatabase" localSheetId="4" hidden="1">'Test Sheet'!$C$17:$C$21</definedName>
    <definedName name="_Toc31875451" localSheetId="1">List!$C$57</definedName>
    <definedName name="_Toc31875455" localSheetId="1">List!$C$64</definedName>
    <definedName name="Number_of_Payments" localSheetId="2">MATCH(0.01,End_Bal,-1)+1</definedName>
    <definedName name="Payment_Date" localSheetId="2">DATE(YEAR(Loan_Start),MONTH(Loan_Start)+Payment_Number,DAY(Loan_Start))</definedName>
    <definedName name="Print_Area_Reset" localSheetId="2">OFFSET(Full_Print,0,0,Last_Row)</definedName>
    <definedName name="sResults">OFFSET(OpsSearch!$A$2,0,0,COUNTA(OpsSearch!$A:$A)-1,3)</definedName>
    <definedName name="Total_Payment" localSheetId="2">Scheduled_Payment+Extra_Payment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265" i="25" l="1"/>
  <c r="U264" i="25" s="1"/>
  <c r="V264" i="25" s="1"/>
  <c r="Q130" i="25"/>
  <c r="U130" i="25" s="1"/>
  <c r="Q89" i="25"/>
  <c r="Q152" i="25"/>
  <c r="T152" i="25" s="1"/>
  <c r="Q173" i="25"/>
  <c r="Q311" i="25"/>
  <c r="U311" i="25" s="1"/>
  <c r="Q140" i="25" l="1"/>
  <c r="I40" i="26"/>
  <c r="I39" i="26"/>
  <c r="I37" i="26"/>
  <c r="Q226" i="25"/>
  <c r="U236" i="25" s="1"/>
  <c r="Q216" i="25"/>
  <c r="R216" i="25" s="1"/>
  <c r="Q186" i="25"/>
  <c r="Q65" i="25"/>
  <c r="Q66" i="25" s="1"/>
  <c r="Q145" i="25"/>
  <c r="Q146" i="25" s="1"/>
  <c r="U145" i="25" s="1"/>
  <c r="Q306" i="25"/>
  <c r="Q164" i="25"/>
  <c r="Q165" i="25" s="1"/>
  <c r="Q188" i="25" l="1"/>
  <c r="Q191" i="25" s="1"/>
  <c r="U186" i="25" s="1"/>
  <c r="Q189" i="25"/>
  <c r="Q190" i="25" s="1" a="1"/>
  <c r="Q190" i="25" s="1"/>
  <c r="I41" i="26"/>
  <c r="U65" i="25"/>
  <c r="Q90" i="25" s="1"/>
  <c r="Q91" i="25" s="1"/>
  <c r="H40" i="25" l="1"/>
  <c r="H10" i="25" l="1"/>
  <c r="J10" i="25" s="1"/>
  <c r="Q361" i="25"/>
  <c r="U361" i="25" s="1"/>
  <c r="H23" i="25" s="1"/>
  <c r="J23" i="25" s="1"/>
  <c r="H30" i="25" l="1"/>
  <c r="I30" i="25" s="1"/>
  <c r="H36" i="25"/>
  <c r="H24" i="25"/>
  <c r="H27" i="25"/>
  <c r="H51" i="25"/>
  <c r="H26" i="25"/>
  <c r="H50" i="25"/>
  <c r="H39" i="25"/>
  <c r="H37" i="25"/>
  <c r="AG28" i="1" l="1"/>
  <c r="AG27" i="1"/>
  <c r="AJ14" i="26"/>
  <c r="AJ15" i="26"/>
  <c r="AJ16" i="26"/>
  <c r="AJ17" i="26"/>
  <c r="AJ18" i="26"/>
  <c r="AJ19" i="26"/>
  <c r="AJ20" i="26"/>
  <c r="AJ21" i="26"/>
  <c r="AJ22" i="26"/>
  <c r="AJ23" i="26"/>
  <c r="AJ24" i="26"/>
  <c r="AJ25" i="26"/>
  <c r="AJ26" i="26"/>
  <c r="AJ27" i="26"/>
  <c r="AJ28" i="26"/>
  <c r="AJ29" i="26"/>
  <c r="AJ30" i="26"/>
  <c r="AJ31" i="26"/>
  <c r="AJ32" i="26"/>
  <c r="AJ33" i="26"/>
  <c r="AJ34" i="26"/>
  <c r="AJ35" i="26"/>
  <c r="AJ36" i="26"/>
  <c r="AJ37" i="26"/>
  <c r="AJ38" i="26"/>
  <c r="AJ39" i="26"/>
  <c r="AJ40" i="26"/>
  <c r="AJ41" i="26"/>
  <c r="AJ42" i="26"/>
  <c r="AJ43" i="26"/>
  <c r="AJ44" i="26"/>
  <c r="AJ45" i="26"/>
  <c r="AJ46" i="26"/>
  <c r="AJ47" i="26"/>
  <c r="AJ48" i="26"/>
  <c r="AJ49" i="26"/>
  <c r="AJ50" i="26"/>
  <c r="AJ51" i="26"/>
  <c r="AJ52" i="26"/>
  <c r="AJ53" i="26"/>
  <c r="AJ54" i="26"/>
  <c r="AJ55" i="26"/>
  <c r="AJ56" i="26"/>
  <c r="AJ57" i="26"/>
  <c r="AJ58" i="26"/>
  <c r="AJ59" i="26"/>
  <c r="AJ60" i="26"/>
  <c r="AJ61" i="26"/>
  <c r="AJ62" i="26"/>
  <c r="AJ63" i="26"/>
  <c r="AJ64" i="26"/>
  <c r="AJ65" i="26"/>
  <c r="AJ66" i="26"/>
  <c r="AJ67" i="26"/>
  <c r="AJ68" i="26"/>
  <c r="AJ69" i="26"/>
  <c r="AJ70" i="26"/>
  <c r="AJ71" i="26"/>
  <c r="AJ72" i="26"/>
  <c r="AJ73" i="26"/>
  <c r="AJ74" i="26"/>
  <c r="AJ75" i="26"/>
  <c r="AJ76" i="26"/>
  <c r="AJ77" i="26"/>
  <c r="AJ78" i="26"/>
  <c r="AJ79" i="26"/>
  <c r="AJ80" i="26"/>
  <c r="AJ81" i="26"/>
  <c r="AJ82" i="26"/>
  <c r="AJ83" i="26"/>
  <c r="AJ84" i="26"/>
  <c r="AJ85" i="26"/>
  <c r="AJ86" i="26"/>
  <c r="AJ87" i="26"/>
  <c r="AJ88" i="26"/>
  <c r="AJ89" i="26"/>
  <c r="AJ90" i="26"/>
  <c r="AJ91" i="26"/>
  <c r="AJ92" i="26"/>
  <c r="AJ93" i="26"/>
  <c r="AJ94" i="26"/>
  <c r="AJ95" i="26"/>
  <c r="AJ96" i="26"/>
  <c r="AJ97" i="26"/>
  <c r="AJ98" i="26"/>
  <c r="AJ99" i="26"/>
  <c r="AJ100" i="26"/>
  <c r="AJ101" i="26"/>
  <c r="AJ102" i="26"/>
  <c r="AJ103" i="26"/>
  <c r="AJ104" i="26"/>
  <c r="AJ105" i="26"/>
  <c r="AJ106" i="26"/>
  <c r="AJ107" i="26"/>
  <c r="AJ108" i="26"/>
  <c r="AJ109" i="26"/>
  <c r="AJ110" i="26"/>
  <c r="AJ111" i="26"/>
  <c r="AJ112" i="26"/>
  <c r="AJ113" i="26"/>
  <c r="AJ114" i="26"/>
  <c r="AJ115" i="26"/>
  <c r="AJ116" i="26"/>
  <c r="AJ117" i="26"/>
  <c r="AJ118" i="26"/>
  <c r="AJ119" i="26"/>
  <c r="AJ120" i="26"/>
  <c r="AJ121" i="26"/>
  <c r="AJ122" i="26"/>
  <c r="AJ123" i="26"/>
  <c r="AJ124" i="26"/>
  <c r="AJ125" i="26"/>
  <c r="AJ126" i="26"/>
  <c r="AJ127" i="26"/>
  <c r="AJ128" i="26"/>
  <c r="AJ129" i="26"/>
  <c r="AJ130" i="26"/>
  <c r="AJ131" i="26"/>
  <c r="AJ132" i="26"/>
  <c r="AJ133" i="26"/>
  <c r="AJ134" i="26"/>
  <c r="AJ135" i="26"/>
  <c r="AJ136" i="26"/>
  <c r="AJ137" i="26"/>
  <c r="AJ138" i="26"/>
  <c r="AJ139" i="26"/>
  <c r="AJ140" i="26"/>
  <c r="AJ141" i="26"/>
  <c r="AJ142" i="26"/>
  <c r="AJ143" i="26"/>
  <c r="AJ144" i="26"/>
  <c r="AJ145" i="26"/>
  <c r="AJ146" i="26"/>
  <c r="AJ147" i="26"/>
  <c r="AJ148" i="26"/>
  <c r="AJ149" i="26"/>
  <c r="AJ150" i="26"/>
  <c r="AJ151" i="26"/>
  <c r="AJ152" i="26"/>
  <c r="AJ153" i="26"/>
  <c r="AJ154" i="26"/>
  <c r="AJ155" i="26"/>
  <c r="AJ156" i="26"/>
  <c r="AJ157" i="26"/>
  <c r="AJ158" i="26"/>
  <c r="AJ159" i="26"/>
  <c r="AJ160" i="26"/>
  <c r="AJ161" i="26"/>
  <c r="AJ162" i="26"/>
  <c r="AJ163" i="26"/>
  <c r="AJ164" i="26"/>
  <c r="AJ165" i="26"/>
  <c r="AJ166" i="26"/>
  <c r="AJ167" i="26"/>
  <c r="AJ168" i="26"/>
  <c r="AJ169" i="26"/>
  <c r="AJ170" i="26"/>
  <c r="AJ171" i="26"/>
  <c r="AJ172" i="26"/>
  <c r="AJ173" i="26"/>
  <c r="AJ174" i="26"/>
  <c r="AJ175" i="26"/>
  <c r="AJ176" i="26"/>
  <c r="AJ177" i="26"/>
  <c r="AJ178" i="26"/>
  <c r="AJ179" i="26"/>
  <c r="AJ180" i="26"/>
  <c r="AJ181" i="26"/>
  <c r="AJ182" i="26"/>
  <c r="AJ183" i="26"/>
  <c r="AJ184" i="26"/>
  <c r="AJ185" i="26"/>
  <c r="AJ186" i="26"/>
  <c r="AJ187" i="26"/>
  <c r="AJ188" i="26"/>
  <c r="AJ189" i="26"/>
  <c r="AJ190" i="26"/>
  <c r="AJ191" i="26"/>
  <c r="AJ192" i="26"/>
  <c r="AJ193" i="26"/>
  <c r="AJ194" i="26"/>
  <c r="AJ195" i="26"/>
  <c r="AJ196" i="26"/>
  <c r="AJ197" i="26"/>
  <c r="AJ198" i="26"/>
  <c r="AJ199" i="26"/>
  <c r="AJ200" i="26"/>
  <c r="AJ201" i="26"/>
  <c r="AJ14" i="1"/>
  <c r="AJ15" i="1"/>
  <c r="AJ16" i="1"/>
  <c r="AJ17" i="1"/>
  <c r="AJ18" i="1"/>
  <c r="AJ19" i="1"/>
  <c r="AJ20" i="1"/>
  <c r="AJ21" i="1"/>
  <c r="AJ22" i="1"/>
  <c r="AJ23" i="1"/>
  <c r="AJ24" i="1"/>
  <c r="AJ25" i="1"/>
  <c r="AJ26" i="1"/>
  <c r="AJ27" i="1"/>
  <c r="AJ28" i="1"/>
  <c r="AJ29" i="1"/>
  <c r="AJ30" i="1"/>
  <c r="AJ31" i="1"/>
  <c r="AJ32" i="1"/>
  <c r="AJ33" i="1"/>
  <c r="AJ34" i="1"/>
  <c r="AJ35" i="1"/>
  <c r="AJ36" i="1"/>
  <c r="AJ37" i="1"/>
  <c r="AJ38" i="1"/>
  <c r="AJ39" i="1"/>
  <c r="AJ40" i="1"/>
  <c r="AJ41" i="1"/>
  <c r="AJ42" i="1"/>
  <c r="AJ43" i="1"/>
  <c r="AJ44" i="1"/>
  <c r="AJ45" i="1"/>
  <c r="AJ46" i="1"/>
  <c r="AJ47" i="1"/>
  <c r="AJ48" i="1"/>
  <c r="AJ49" i="1"/>
  <c r="AJ50" i="1"/>
  <c r="AJ51" i="1"/>
  <c r="AJ52" i="1"/>
  <c r="AJ53" i="1"/>
  <c r="AJ54" i="1"/>
  <c r="AJ55" i="1"/>
  <c r="AJ56" i="1"/>
  <c r="AJ57" i="1"/>
  <c r="AJ58" i="1"/>
  <c r="AJ59" i="1"/>
  <c r="AJ60" i="1"/>
  <c r="AJ61" i="1"/>
  <c r="AJ62" i="1"/>
  <c r="AJ63" i="1"/>
  <c r="AJ64" i="1"/>
  <c r="AJ65" i="1"/>
  <c r="AJ66" i="1"/>
  <c r="AJ67" i="1"/>
  <c r="AJ68" i="1"/>
  <c r="AJ69" i="1"/>
  <c r="AJ70" i="1"/>
  <c r="AJ71" i="1"/>
  <c r="AJ72" i="1"/>
  <c r="AJ73" i="1"/>
  <c r="AJ74" i="1"/>
  <c r="AJ75" i="1"/>
  <c r="AJ76" i="1"/>
  <c r="AJ77" i="1"/>
  <c r="AJ78" i="1"/>
  <c r="AJ79" i="1"/>
  <c r="AJ80" i="1"/>
  <c r="AJ81" i="1"/>
  <c r="AJ82" i="1"/>
  <c r="AJ83" i="1"/>
  <c r="AJ84" i="1"/>
  <c r="AJ85" i="1"/>
  <c r="AJ86" i="1"/>
  <c r="AJ87" i="1"/>
  <c r="AJ88" i="1"/>
  <c r="AJ89" i="1"/>
  <c r="AJ90" i="1"/>
  <c r="AJ91" i="1"/>
  <c r="AJ92" i="1"/>
  <c r="AJ93" i="1"/>
  <c r="AJ94" i="1"/>
  <c r="AJ95" i="1"/>
  <c r="AJ96" i="1"/>
  <c r="AJ97" i="1"/>
  <c r="AJ98" i="1"/>
  <c r="AJ99" i="1"/>
  <c r="AJ100" i="1"/>
  <c r="AJ101" i="1"/>
  <c r="AJ102" i="1"/>
  <c r="AJ103" i="1"/>
  <c r="AJ104" i="1"/>
  <c r="AJ105" i="1"/>
  <c r="AJ106" i="1"/>
  <c r="AJ107" i="1"/>
  <c r="AJ108" i="1"/>
  <c r="AJ109" i="1"/>
  <c r="AJ110" i="1"/>
  <c r="AJ111" i="1"/>
  <c r="AJ112" i="1"/>
  <c r="AJ113" i="1"/>
  <c r="AJ114" i="1"/>
  <c r="AJ115" i="1"/>
  <c r="AJ116" i="1"/>
  <c r="AJ117" i="1"/>
  <c r="AJ118" i="1"/>
  <c r="AJ119" i="1"/>
  <c r="AJ120" i="1"/>
  <c r="AJ121" i="1"/>
  <c r="AJ122" i="1"/>
  <c r="AJ123" i="1"/>
  <c r="AJ124" i="1"/>
  <c r="AJ125" i="1"/>
  <c r="AJ126" i="1"/>
  <c r="AJ127" i="1"/>
  <c r="AJ128" i="1"/>
  <c r="AJ129" i="1"/>
  <c r="AJ130" i="1"/>
  <c r="AJ131" i="1"/>
  <c r="AJ132" i="1"/>
  <c r="AJ133" i="1"/>
  <c r="AJ134" i="1"/>
  <c r="AJ135" i="1"/>
  <c r="AJ136" i="1"/>
  <c r="AJ137" i="1"/>
  <c r="AJ138" i="1"/>
  <c r="AJ139" i="1"/>
  <c r="AJ140" i="1"/>
  <c r="AJ141" i="1"/>
  <c r="AJ142" i="1"/>
  <c r="AJ143" i="1"/>
  <c r="AJ144" i="1"/>
  <c r="AJ145" i="1"/>
  <c r="AJ146" i="1"/>
  <c r="AJ147" i="1"/>
  <c r="AJ148" i="1"/>
  <c r="AJ149" i="1"/>
  <c r="AJ150" i="1"/>
  <c r="AJ151" i="1"/>
  <c r="AJ152" i="1"/>
  <c r="AJ153" i="1"/>
  <c r="AJ154" i="1"/>
  <c r="AJ155" i="1"/>
  <c r="AJ156" i="1"/>
  <c r="AJ157" i="1"/>
  <c r="AJ158" i="1"/>
  <c r="AJ159" i="1"/>
  <c r="AJ160" i="1"/>
  <c r="AJ161" i="1"/>
  <c r="AJ162" i="1"/>
  <c r="AJ163" i="1"/>
  <c r="AJ164" i="1"/>
  <c r="AJ165" i="1"/>
  <c r="AJ166" i="1"/>
  <c r="AJ167" i="1"/>
  <c r="AJ168" i="1"/>
  <c r="AJ169" i="1"/>
  <c r="AJ170" i="1"/>
  <c r="AJ171" i="1"/>
  <c r="AJ172" i="1"/>
  <c r="AJ173" i="1"/>
  <c r="AJ174" i="1"/>
  <c r="AJ175" i="1"/>
  <c r="AJ176" i="1"/>
  <c r="AJ177" i="1"/>
  <c r="AJ178" i="1"/>
  <c r="AJ179" i="1"/>
  <c r="AJ180" i="1"/>
  <c r="AJ181" i="1"/>
  <c r="AJ182" i="1"/>
  <c r="AJ183" i="1"/>
  <c r="AJ184" i="1"/>
  <c r="AJ185" i="1"/>
  <c r="AJ186" i="1"/>
  <c r="AJ187" i="1"/>
  <c r="AJ188" i="1"/>
  <c r="AJ189" i="1"/>
  <c r="AJ190" i="1"/>
  <c r="AJ191" i="1"/>
  <c r="AJ192" i="1"/>
  <c r="AJ193" i="1"/>
  <c r="AJ194" i="1"/>
  <c r="AJ195" i="1"/>
  <c r="AJ196" i="1"/>
  <c r="AJ197" i="1"/>
  <c r="AJ198" i="1"/>
  <c r="AJ199" i="1"/>
  <c r="AJ200" i="1"/>
  <c r="AJ201" i="1"/>
  <c r="AJ13" i="26"/>
  <c r="AJ13" i="1"/>
  <c r="Q292" i="25" l="1"/>
  <c r="V292" i="25" s="1"/>
  <c r="H34" i="25"/>
  <c r="Q295" i="25" s="1"/>
  <c r="S292" i="25" s="1"/>
  <c r="Q294" i="25"/>
  <c r="S293" i="25" s="1"/>
  <c r="Q293" i="25"/>
  <c r="S294" i="25" s="1"/>
  <c r="Q263" i="25"/>
  <c r="U263" i="25" s="1"/>
  <c r="Q271" i="25"/>
  <c r="V268" i="25" s="1"/>
  <c r="Q270" i="25"/>
  <c r="Q269" i="25"/>
  <c r="Q268" i="25"/>
  <c r="Q267" i="25"/>
  <c r="R217" i="25"/>
  <c r="Q209" i="25"/>
  <c r="Q210" i="25" s="1"/>
  <c r="U209" i="25" s="1"/>
  <c r="Q202" i="25"/>
  <c r="Q203" i="25" s="1"/>
  <c r="U202" i="25" s="1"/>
  <c r="Q174" i="25"/>
  <c r="Q175" i="25"/>
  <c r="Q153" i="25"/>
  <c r="Q274" i="25" l="1"/>
  <c r="U268" i="25" s="1"/>
  <c r="Q157" i="25"/>
  <c r="Q158" i="25" s="1" a="1"/>
  <c r="Q158" i="25" s="1"/>
  <c r="Q156" i="25"/>
  <c r="Q159" i="25" s="1"/>
  <c r="T153" i="25" s="1"/>
  <c r="U152" i="25" s="1"/>
  <c r="AD44" i="25"/>
  <c r="R219" i="25"/>
  <c r="U216" i="25" s="1"/>
  <c r="Q136" i="25" l="1"/>
  <c r="J24" i="25" l="1"/>
  <c r="J30" i="25" l="1"/>
  <c r="H18" i="25" l="1"/>
  <c r="I18" i="25" s="1"/>
  <c r="H49" i="25"/>
  <c r="H48" i="25"/>
  <c r="H47" i="25"/>
  <c r="H46" i="25"/>
  <c r="H45" i="25"/>
  <c r="H61" i="25" l="1"/>
  <c r="J61" i="25" s="1"/>
  <c r="H60" i="25"/>
  <c r="J60" i="25" s="1"/>
  <c r="M60" i="25" s="1"/>
  <c r="N60" i="25" s="1"/>
  <c r="H59" i="25"/>
  <c r="J59" i="25" s="1"/>
  <c r="H58" i="25"/>
  <c r="J58" i="25" s="1"/>
  <c r="M58" i="25" s="1"/>
  <c r="H57" i="25"/>
  <c r="J57" i="25" s="1"/>
  <c r="M57" i="25" s="1"/>
  <c r="H56" i="25"/>
  <c r="J56" i="25" s="1"/>
  <c r="M56" i="25" s="1"/>
  <c r="N56" i="25" s="1"/>
  <c r="H55" i="25"/>
  <c r="J55" i="25" s="1"/>
  <c r="L55" i="25" s="1"/>
  <c r="H54" i="25"/>
  <c r="J54" i="25" s="1"/>
  <c r="L54" i="25" s="1"/>
  <c r="M54" i="25" l="1"/>
  <c r="N54" i="25" s="1"/>
  <c r="L56" i="25"/>
  <c r="M55" i="25"/>
  <c r="N55" i="25" s="1"/>
  <c r="M61" i="25"/>
  <c r="N61" i="25" s="1"/>
  <c r="L61" i="25"/>
  <c r="N57" i="25"/>
  <c r="M59" i="25"/>
  <c r="N59" i="25" s="1"/>
  <c r="L59" i="25"/>
  <c r="L57" i="25"/>
  <c r="L58" i="25"/>
  <c r="N58" i="25" s="1"/>
  <c r="L60" i="25"/>
  <c r="AD26" i="25" l="1"/>
  <c r="AD24" i="25"/>
  <c r="AD22" i="25"/>
  <c r="AD20" i="25"/>
  <c r="AD18" i="25"/>
  <c r="H20" i="25"/>
  <c r="H19" i="25"/>
  <c r="H17" i="25"/>
  <c r="H16" i="25"/>
  <c r="H53" i="25"/>
  <c r="J53" i="25" s="1"/>
  <c r="Q102" i="25"/>
  <c r="U102" i="25" s="1"/>
  <c r="H52" i="25"/>
  <c r="J52" i="25" s="1"/>
  <c r="H33" i="25"/>
  <c r="Q178" i="25" l="1"/>
  <c r="Q179" i="25" s="1" a="1"/>
  <c r="Q179" i="25" s="1"/>
  <c r="Q177" i="25"/>
  <c r="L53" i="25"/>
  <c r="M53" i="25"/>
  <c r="N53" i="25" s="1"/>
  <c r="L52" i="25"/>
  <c r="M52" i="25"/>
  <c r="M29" i="25"/>
  <c r="N29" i="25" s="1"/>
  <c r="Q180" i="25" l="1"/>
  <c r="U173" i="25" s="1"/>
  <c r="N52" i="25"/>
  <c r="Q347" i="25" l="1"/>
  <c r="U347" i="25" s="1"/>
  <c r="AD36" i="25" s="1"/>
  <c r="Q286" i="25"/>
  <c r="Q339" i="25"/>
  <c r="U339" i="25" s="1"/>
  <c r="Q318" i="25"/>
  <c r="U317" i="25" s="1"/>
  <c r="Q225" i="25"/>
  <c r="Q224" i="25"/>
  <c r="Q317" i="25"/>
  <c r="J51" i="25"/>
  <c r="U224" i="25" l="1"/>
  <c r="U231" i="25"/>
  <c r="AD32" i="25"/>
  <c r="Q305" i="25"/>
  <c r="Q326" i="25"/>
  <c r="U326" i="25" s="1"/>
  <c r="AD33" i="25" s="1"/>
  <c r="AD35" i="25"/>
  <c r="M10" i="25"/>
  <c r="K22" i="34"/>
  <c r="I22" i="34"/>
  <c r="G22" i="34"/>
  <c r="E22" i="34"/>
  <c r="M18" i="33"/>
  <c r="K18" i="33"/>
  <c r="I18" i="33"/>
  <c r="G18" i="33"/>
  <c r="E18" i="33"/>
  <c r="J17" i="34"/>
  <c r="H17" i="34"/>
  <c r="F17" i="34"/>
  <c r="D17" i="34"/>
  <c r="K13" i="34"/>
  <c r="J13" i="34"/>
  <c r="I13" i="34"/>
  <c r="H13" i="34"/>
  <c r="G13" i="34"/>
  <c r="F13" i="34"/>
  <c r="E13" i="34"/>
  <c r="D13" i="34"/>
  <c r="J12" i="34"/>
  <c r="H12" i="34"/>
  <c r="F12" i="34"/>
  <c r="D12" i="34"/>
  <c r="J9" i="34"/>
  <c r="H9" i="34"/>
  <c r="F9" i="34"/>
  <c r="D9" i="34"/>
  <c r="J8" i="34"/>
  <c r="H8" i="34"/>
  <c r="F8" i="34"/>
  <c r="D8" i="34"/>
  <c r="J7" i="34"/>
  <c r="H7" i="34"/>
  <c r="F7" i="34"/>
  <c r="D7" i="34"/>
  <c r="J13" i="33"/>
  <c r="J12" i="33"/>
  <c r="F12" i="33"/>
  <c r="H12" i="33" s="1"/>
  <c r="J11" i="33"/>
  <c r="D10" i="33"/>
  <c r="D9" i="33"/>
  <c r="F8" i="33"/>
  <c r="H8" i="33" s="1"/>
  <c r="J8" i="33" s="1"/>
  <c r="J7" i="33"/>
  <c r="D7" i="33"/>
  <c r="J6" i="33"/>
  <c r="J10" i="33" s="1"/>
  <c r="F6" i="33"/>
  <c r="H6" i="33" s="1"/>
  <c r="H3" i="33"/>
  <c r="F3" i="33"/>
  <c r="H2" i="33"/>
  <c r="V306" i="25" l="1"/>
  <c r="V305" i="25"/>
  <c r="U242" i="25"/>
  <c r="H22" i="25" s="1"/>
  <c r="J22" i="25" s="1"/>
  <c r="M22" i="25" s="1"/>
  <c r="AD31" i="25"/>
  <c r="J27" i="25"/>
  <c r="M27" i="25" s="1"/>
  <c r="J26" i="25"/>
  <c r="M26" i="25" s="1"/>
  <c r="J39" i="25"/>
  <c r="M39" i="25" s="1"/>
  <c r="J37" i="25"/>
  <c r="M37" i="25" s="1"/>
  <c r="M23" i="25"/>
  <c r="M24" i="25"/>
  <c r="M51" i="25"/>
  <c r="L51" i="25"/>
  <c r="F9" i="33"/>
  <c r="H9" i="33" s="1"/>
  <c r="F7" i="33"/>
  <c r="H7" i="33" s="1"/>
  <c r="J9" i="33"/>
  <c r="F10" i="33"/>
  <c r="H10" i="33" s="1"/>
  <c r="N51" i="25" l="1"/>
  <c r="AD57" i="25" l="1"/>
  <c r="Q264" i="25"/>
  <c r="AD42" i="25" l="1"/>
  <c r="AD43" i="25"/>
  <c r="AD56" i="25"/>
  <c r="AD58" i="25"/>
  <c r="U164" i="25"/>
  <c r="AD51" i="25" s="1"/>
  <c r="Q246" i="25" l="1"/>
  <c r="U246" i="25" s="1"/>
  <c r="J33" i="25"/>
  <c r="M33" i="25" s="1"/>
  <c r="H32" i="25"/>
  <c r="J32" i="25" s="1"/>
  <c r="M32" i="25" s="1"/>
  <c r="H31" i="25"/>
  <c r="J31" i="25" s="1"/>
  <c r="M31" i="25" s="1"/>
  <c r="H9" i="25"/>
  <c r="H21" i="25"/>
  <c r="J21" i="25" s="1"/>
  <c r="H28" i="25" l="1"/>
  <c r="J36" i="25"/>
  <c r="Q135" i="25"/>
  <c r="U135" i="25" s="1"/>
  <c r="M21" i="25"/>
  <c r="Q334" i="25"/>
  <c r="U334" i="25" s="1"/>
  <c r="U140" i="25"/>
  <c r="AD30" i="25" s="1"/>
  <c r="M30" i="25"/>
  <c r="H15" i="25"/>
  <c r="H14" i="25"/>
  <c r="H13" i="25"/>
  <c r="H12" i="25"/>
  <c r="H11" i="25"/>
  <c r="I11" i="25" s="1"/>
  <c r="AD39" i="25"/>
  <c r="M36" i="25" l="1"/>
  <c r="AD29" i="25"/>
  <c r="H42" i="25"/>
  <c r="H44" i="25"/>
  <c r="H41" i="25"/>
  <c r="H43" i="25"/>
  <c r="AD41" i="25"/>
  <c r="J28" i="25"/>
  <c r="M28" i="25" s="1"/>
  <c r="J50" i="25"/>
  <c r="M50" i="25" s="1"/>
  <c r="AD34" i="25"/>
  <c r="AD27" i="25"/>
  <c r="U89" i="25"/>
  <c r="L50" i="25" l="1"/>
  <c r="AD28" i="25"/>
  <c r="AD16" i="25"/>
  <c r="AD14" i="25"/>
  <c r="AD12" i="25"/>
  <c r="AD10" i="25"/>
  <c r="AD8" i="25"/>
  <c r="I19" i="25"/>
  <c r="J19" i="25" s="1"/>
  <c r="M19" i="25" s="1"/>
  <c r="N19" i="25" s="1"/>
  <c r="J18" i="25"/>
  <c r="M18" i="25" s="1"/>
  <c r="N18" i="25" s="1"/>
  <c r="I17" i="25"/>
  <c r="J17" i="25" s="1"/>
  <c r="M17" i="25" s="1"/>
  <c r="N17" i="25" s="1"/>
  <c r="I16" i="25"/>
  <c r="J16" i="25" s="1"/>
  <c r="M16" i="25" s="1"/>
  <c r="I20" i="25"/>
  <c r="J20" i="25" s="1"/>
  <c r="M20" i="25" s="1"/>
  <c r="N20" i="25" s="1"/>
  <c r="I15" i="25"/>
  <c r="J15" i="25" s="1"/>
  <c r="M15" i="25" s="1"/>
  <c r="N15" i="25" s="1"/>
  <c r="I14" i="25"/>
  <c r="J14" i="25" s="1"/>
  <c r="M14" i="25" s="1"/>
  <c r="N14" i="25" s="1"/>
  <c r="I13" i="25"/>
  <c r="J13" i="25" s="1"/>
  <c r="M13" i="25" s="1"/>
  <c r="N13" i="25" s="1"/>
  <c r="I12" i="25"/>
  <c r="J12" i="25" s="1"/>
  <c r="M12" i="25" s="1"/>
  <c r="J11" i="25"/>
  <c r="M11" i="25" s="1"/>
  <c r="N12" i="25" l="1"/>
  <c r="N16" i="25"/>
  <c r="N50" i="25"/>
  <c r="J34" i="25"/>
  <c r="M34" i="25" s="1"/>
  <c r="N34" i="25" s="1"/>
  <c r="L11" i="25"/>
  <c r="N11" i="25" s="1"/>
  <c r="AD25" i="25"/>
  <c r="AD13" i="25"/>
  <c r="AD15" i="25"/>
  <c r="AD17" i="25"/>
  <c r="AD19" i="25"/>
  <c r="AD21" i="25"/>
  <c r="AD23" i="25"/>
  <c r="AD9" i="25"/>
  <c r="AD7" i="25"/>
  <c r="AD11" i="25"/>
  <c r="L15" i="25"/>
  <c r="L13" i="25"/>
  <c r="L16" i="25"/>
  <c r="L17" i="25"/>
  <c r="L14" i="25"/>
  <c r="L18" i="25"/>
  <c r="L12" i="25"/>
  <c r="L19" i="25"/>
  <c r="L20" i="25"/>
  <c r="J38" i="25" l="1"/>
  <c r="M38" i="25" s="1"/>
  <c r="N38" i="25" s="1"/>
  <c r="L37" i="25" l="1"/>
  <c r="N37" i="25" s="1"/>
  <c r="L39" i="25"/>
  <c r="N39" i="25" s="1"/>
  <c r="L38" i="25"/>
  <c r="L36" i="25"/>
  <c r="N36" i="25" s="1"/>
  <c r="E174" i="26"/>
  <c r="E173" i="26"/>
  <c r="C174" i="26"/>
  <c r="C175" i="26" s="1"/>
  <c r="E184" i="26" s="1"/>
  <c r="C136" i="26"/>
  <c r="C141" i="26" s="1"/>
  <c r="D88" i="26"/>
  <c r="D87" i="26"/>
  <c r="C101" i="26" s="1"/>
  <c r="D86" i="26"/>
  <c r="C100" i="26" s="1"/>
  <c r="D80" i="26"/>
  <c r="D58" i="26"/>
  <c r="D49" i="26"/>
  <c r="F49" i="26" s="1"/>
  <c r="D48" i="26"/>
  <c r="D47" i="26"/>
  <c r="F47" i="26" s="1"/>
  <c r="D46" i="26"/>
  <c r="D45" i="26"/>
  <c r="D44" i="26"/>
  <c r="D43" i="26"/>
  <c r="G32" i="26"/>
  <c r="C37" i="26" s="1"/>
  <c r="G31" i="26"/>
  <c r="D32" i="26"/>
  <c r="D31" i="26"/>
  <c r="D36" i="26" s="1"/>
  <c r="E19" i="26"/>
  <c r="E18" i="26"/>
  <c r="E17" i="26"/>
  <c r="E16" i="26"/>
  <c r="E15" i="26"/>
  <c r="E14" i="26"/>
  <c r="E13" i="26"/>
  <c r="E12" i="26"/>
  <c r="E11" i="26"/>
  <c r="E10" i="26"/>
  <c r="C19" i="26"/>
  <c r="J19" i="26" s="1"/>
  <c r="C18" i="26"/>
  <c r="J18" i="26" s="1"/>
  <c r="C17" i="26"/>
  <c r="J17" i="26" s="1"/>
  <c r="C16" i="26"/>
  <c r="J16" i="26" s="1"/>
  <c r="C15" i="26"/>
  <c r="J15" i="26" s="1"/>
  <c r="C14" i="26"/>
  <c r="J14" i="26" s="1"/>
  <c r="C13" i="26"/>
  <c r="J13" i="26" s="1"/>
  <c r="C12" i="26"/>
  <c r="J12" i="26" s="1"/>
  <c r="C11" i="26"/>
  <c r="J11" i="26" s="1"/>
  <c r="C10" i="26"/>
  <c r="G33" i="26" l="1"/>
  <c r="J10" i="26"/>
  <c r="I10" i="26"/>
  <c r="H10" i="26"/>
  <c r="E20" i="26"/>
  <c r="C102" i="26"/>
  <c r="D90" i="26"/>
  <c r="F97" i="26" s="1"/>
  <c r="D81" i="26"/>
  <c r="F82" i="26"/>
  <c r="E187" i="26"/>
  <c r="D94" i="26"/>
  <c r="C179" i="26"/>
  <c r="D179" i="26" s="1"/>
  <c r="F179" i="26" s="1"/>
  <c r="F141" i="26"/>
  <c r="C95" i="26"/>
  <c r="C94" i="26"/>
  <c r="D61" i="26"/>
  <c r="E48" i="26"/>
  <c r="F48" i="26" s="1"/>
  <c r="F44" i="26"/>
  <c r="F45" i="26"/>
  <c r="F46" i="26"/>
  <c r="F43" i="26"/>
  <c r="D37" i="26"/>
  <c r="C36" i="26"/>
  <c r="I11" i="26"/>
  <c r="I12" i="26"/>
  <c r="I13" i="26"/>
  <c r="I14" i="26"/>
  <c r="I15" i="26"/>
  <c r="I16" i="26"/>
  <c r="I17" i="26"/>
  <c r="I18" i="26"/>
  <c r="I19" i="26"/>
  <c r="H11" i="26"/>
  <c r="H12" i="26"/>
  <c r="H13" i="26"/>
  <c r="H14" i="26"/>
  <c r="H15" i="26"/>
  <c r="H16" i="26"/>
  <c r="H17" i="26"/>
  <c r="H18" i="26"/>
  <c r="H19" i="26"/>
  <c r="D19" i="26"/>
  <c r="D18" i="26"/>
  <c r="D17" i="26"/>
  <c r="D16" i="26"/>
  <c r="D15" i="26"/>
  <c r="D14" i="26"/>
  <c r="D13" i="26"/>
  <c r="D12" i="26"/>
  <c r="D11" i="26"/>
  <c r="D10" i="26"/>
  <c r="F50" i="26" l="1"/>
  <c r="K37" i="26"/>
  <c r="J37" i="26" s="1"/>
  <c r="J40" i="26"/>
  <c r="J39" i="26"/>
  <c r="F36" i="26"/>
  <c r="F94" i="26"/>
  <c r="F37" i="26"/>
  <c r="C40" i="26"/>
  <c r="I40" i="25"/>
  <c r="J40" i="25" s="1"/>
  <c r="M40" i="25" s="1"/>
  <c r="G24" i="26"/>
  <c r="G25" i="26" s="1"/>
  <c r="I49" i="25"/>
  <c r="J49" i="25" s="1"/>
  <c r="I41" i="25"/>
  <c r="J41" i="25" s="1"/>
  <c r="I42" i="25"/>
  <c r="J42" i="25" s="1"/>
  <c r="I48" i="25"/>
  <c r="J48" i="25" s="1"/>
  <c r="M48" i="25" s="1"/>
  <c r="N48" i="25" s="1"/>
  <c r="I47" i="25"/>
  <c r="J47" i="25" s="1"/>
  <c r="I46" i="25"/>
  <c r="J46" i="25" s="1"/>
  <c r="I45" i="25"/>
  <c r="J45" i="25" s="1"/>
  <c r="I44" i="25"/>
  <c r="J44" i="25" s="1"/>
  <c r="M44" i="25" s="1"/>
  <c r="N44" i="25" s="1"/>
  <c r="I43" i="25"/>
  <c r="J43" i="25" s="1"/>
  <c r="E185" i="26"/>
  <c r="E189" i="26"/>
  <c r="E188" i="26"/>
  <c r="E186" i="26"/>
  <c r="F15" i="26"/>
  <c r="G15" i="26" s="1"/>
  <c r="F14" i="26"/>
  <c r="G14" i="26" s="1"/>
  <c r="G26" i="26"/>
  <c r="F18" i="26"/>
  <c r="G18" i="26" s="1"/>
  <c r="F16" i="26"/>
  <c r="G16" i="26" s="1"/>
  <c r="D93" i="26"/>
  <c r="C93" i="26"/>
  <c r="D95" i="26"/>
  <c r="F95" i="26" s="1"/>
  <c r="G23" i="26"/>
  <c r="J41" i="26" l="1"/>
  <c r="F40" i="26"/>
  <c r="F52" i="26" s="1"/>
  <c r="T286" i="25"/>
  <c r="U286" i="25" s="1"/>
  <c r="AD54" i="25" s="1"/>
  <c r="C161" i="26" s="1"/>
  <c r="AD50" i="25"/>
  <c r="C135" i="26" s="1"/>
  <c r="M47" i="25"/>
  <c r="N47" i="25" s="1"/>
  <c r="L47" i="25"/>
  <c r="M42" i="25"/>
  <c r="N42" i="25" s="1"/>
  <c r="L42" i="25"/>
  <c r="M46" i="25"/>
  <c r="N46" i="25" s="1"/>
  <c r="L46" i="25"/>
  <c r="M41" i="25"/>
  <c r="L41" i="25"/>
  <c r="M45" i="25"/>
  <c r="N45" i="25" s="1"/>
  <c r="L45" i="25"/>
  <c r="M43" i="25"/>
  <c r="N43" i="25" s="1"/>
  <c r="L43" i="25"/>
  <c r="M49" i="25"/>
  <c r="N49" i="25" s="1"/>
  <c r="L49" i="25"/>
  <c r="L44" i="25"/>
  <c r="L48" i="25"/>
  <c r="L40" i="25"/>
  <c r="N40" i="25" s="1"/>
  <c r="G27" i="26"/>
  <c r="Q266" i="25"/>
  <c r="U265" i="25" s="1"/>
  <c r="U266" i="25" s="1"/>
  <c r="U272" i="25" s="1"/>
  <c r="F93" i="26"/>
  <c r="F96" i="26" s="1"/>
  <c r="F98" i="26" s="1"/>
  <c r="AD55" i="25"/>
  <c r="C173" i="26" s="1"/>
  <c r="C178" i="26" s="1"/>
  <c r="D178" i="26" s="1"/>
  <c r="AD6" i="25"/>
  <c r="E7" i="26" s="1"/>
  <c r="F10" i="26" s="1"/>
  <c r="G10" i="26" s="1"/>
  <c r="Q125" i="25"/>
  <c r="U125" i="25" s="1"/>
  <c r="Q120" i="25"/>
  <c r="U120" i="25" s="1"/>
  <c r="J35" i="25"/>
  <c r="M35" i="25" s="1"/>
  <c r="N35" i="25" s="1"/>
  <c r="J25" i="25"/>
  <c r="M25" i="25" s="1"/>
  <c r="N25" i="25" s="1"/>
  <c r="C164" i="26" l="1"/>
  <c r="F164" i="26" s="1"/>
  <c r="F166" i="26" s="1"/>
  <c r="C140" i="26"/>
  <c r="D140" i="26" s="1"/>
  <c r="F140" i="26" s="1"/>
  <c r="AD40" i="25"/>
  <c r="D69" i="26" s="1"/>
  <c r="C72" i="26" s="1"/>
  <c r="F72" i="26" s="1"/>
  <c r="AD48" i="25"/>
  <c r="C112" i="26" s="1"/>
  <c r="E127" i="26" s="1"/>
  <c r="U270" i="25"/>
  <c r="AD46" i="25" s="1"/>
  <c r="C110" i="26" s="1"/>
  <c r="U271" i="25"/>
  <c r="AD47" i="25" s="1"/>
  <c r="C111" i="26" s="1"/>
  <c r="U269" i="25"/>
  <c r="AD45" i="25" s="1"/>
  <c r="C109" i="26" s="1"/>
  <c r="N41" i="25"/>
  <c r="F17" i="26"/>
  <c r="G17" i="26" s="1"/>
  <c r="F19" i="26"/>
  <c r="G19" i="26" s="1"/>
  <c r="L25" i="25"/>
  <c r="AD38" i="25"/>
  <c r="D57" i="26" s="1"/>
  <c r="F62" i="26" s="1"/>
  <c r="F13" i="26"/>
  <c r="G13" i="26" s="1"/>
  <c r="C186" i="26"/>
  <c r="C189" i="26"/>
  <c r="C188" i="26"/>
  <c r="C187" i="26"/>
  <c r="C190" i="26"/>
  <c r="C185" i="26"/>
  <c r="C184" i="26"/>
  <c r="G21" i="26"/>
  <c r="F11" i="26"/>
  <c r="G11" i="26" s="1"/>
  <c r="F12" i="26"/>
  <c r="G12" i="26" s="1"/>
  <c r="L28" i="25"/>
  <c r="N28" i="25" s="1"/>
  <c r="L30" i="25"/>
  <c r="N30" i="25" s="1"/>
  <c r="L35" i="25"/>
  <c r="L34" i="25"/>
  <c r="L10" i="25"/>
  <c r="N10" i="25" s="1"/>
  <c r="L23" i="25"/>
  <c r="N23" i="25" s="1"/>
  <c r="L26" i="25"/>
  <c r="N26" i="25" s="1"/>
  <c r="L27" i="25"/>
  <c r="N27" i="25" s="1"/>
  <c r="AD49" i="25"/>
  <c r="C132" i="26" s="1"/>
  <c r="L24" i="25"/>
  <c r="N24" i="25" s="1"/>
  <c r="L31" i="25"/>
  <c r="N31" i="25" s="1"/>
  <c r="L33" i="25"/>
  <c r="N33" i="25" s="1"/>
  <c r="J9" i="25"/>
  <c r="G4" i="25" s="1"/>
  <c r="F168" i="26" l="1"/>
  <c r="F210" i="26" s="1"/>
  <c r="F216" i="26" s="1"/>
  <c r="F73" i="26"/>
  <c r="F74" i="26" s="1"/>
  <c r="E128" i="26"/>
  <c r="E126" i="26"/>
  <c r="C128" i="26"/>
  <c r="C127" i="26"/>
  <c r="C126" i="26"/>
  <c r="M9" i="25"/>
  <c r="I5" i="25" s="1"/>
  <c r="L9" i="25"/>
  <c r="C117" i="26"/>
  <c r="F117" i="26" s="1"/>
  <c r="C125" i="26"/>
  <c r="C119" i="26"/>
  <c r="C116" i="26"/>
  <c r="D116" i="26" s="1"/>
  <c r="F116" i="26" s="1"/>
  <c r="C124" i="26"/>
  <c r="C118" i="26"/>
  <c r="E124" i="26"/>
  <c r="E125" i="26"/>
  <c r="C61" i="26"/>
  <c r="F61" i="26" s="1"/>
  <c r="F63" i="26" s="1"/>
  <c r="F178" i="26"/>
  <c r="F181" i="26" s="1"/>
  <c r="F209" i="26" s="1"/>
  <c r="F215" i="26" s="1"/>
  <c r="C134" i="26"/>
  <c r="C139" i="26" s="1"/>
  <c r="G20" i="26"/>
  <c r="L32" i="25"/>
  <c r="N32" i="25" s="1"/>
  <c r="L21" i="25"/>
  <c r="L22" i="25"/>
  <c r="N22" i="25" s="1"/>
  <c r="L29" i="25"/>
  <c r="G22" i="26" l="1"/>
  <c r="F208" i="26" s="1"/>
  <c r="F214" i="26" s="1"/>
  <c r="D119" i="26"/>
  <c r="F119" i="26" s="1"/>
  <c r="D118" i="26"/>
  <c r="F118" i="26" s="1"/>
  <c r="N21" i="25"/>
  <c r="G5" i="25"/>
  <c r="I4" i="25" s="1"/>
  <c r="M7" i="29"/>
  <c r="N9" i="25"/>
  <c r="I6" i="25" s="1"/>
  <c r="D139" i="26" l="1"/>
  <c r="F139" i="26"/>
  <c r="F120" i="26"/>
  <c r="F122" i="26" s="1"/>
  <c r="AG9" i="25"/>
  <c r="E3" i="7"/>
  <c r="AG115" i="25" l="1"/>
  <c r="AG26" i="25"/>
  <c r="AG14" i="25"/>
  <c r="AG25" i="25"/>
  <c r="AG24" i="25"/>
  <c r="AG38" i="25"/>
  <c r="AG15" i="25"/>
  <c r="AG16" i="25"/>
  <c r="AG12" i="25"/>
  <c r="AJ10" i="25" s="1"/>
  <c r="AG41" i="25"/>
  <c r="F142" i="26"/>
  <c r="F207" i="26" s="1"/>
  <c r="F211" i="26" s="1"/>
  <c r="F213" i="26" s="1"/>
  <c r="F217" i="26" s="1"/>
  <c r="F202" i="26" s="1"/>
  <c r="AG40" i="25"/>
  <c r="AG36" i="25"/>
  <c r="AG10" i="25"/>
  <c r="AJ8" i="25" s="1"/>
  <c r="AG33" i="25"/>
  <c r="AG32" i="25" s="1"/>
  <c r="AG61" i="25"/>
  <c r="AG31" i="25"/>
  <c r="AG62" i="25"/>
  <c r="AG35" i="25"/>
  <c r="AJ7" i="25"/>
  <c r="AG18" i="25"/>
  <c r="AG51" i="25"/>
  <c r="AG50" i="25"/>
  <c r="AG49" i="25"/>
  <c r="AG52" i="25"/>
  <c r="AG56" i="25"/>
  <c r="AG53" i="25"/>
  <c r="AG60" i="25"/>
  <c r="AG54" i="25"/>
  <c r="AG58" i="25"/>
  <c r="AG57" i="25"/>
  <c r="AG59" i="25"/>
  <c r="AG55" i="25"/>
  <c r="AG76" i="25"/>
  <c r="AG34" i="25"/>
  <c r="AG37" i="25"/>
  <c r="AG94" i="25"/>
  <c r="AG93" i="25"/>
  <c r="AG101" i="25"/>
  <c r="AG100" i="25"/>
  <c r="AG114" i="25"/>
  <c r="AG106" i="25"/>
  <c r="AG113" i="25"/>
  <c r="AG105" i="25"/>
  <c r="AG112" i="25"/>
  <c r="AG104" i="25"/>
  <c r="AG111" i="25"/>
  <c r="AG103" i="25"/>
  <c r="AG109" i="25"/>
  <c r="AG107" i="25"/>
  <c r="AG110" i="25"/>
  <c r="AG102" i="25"/>
  <c r="AG108" i="25"/>
  <c r="AG88" i="25"/>
  <c r="AG89" i="25"/>
  <c r="AG21" i="25"/>
  <c r="AG91" i="25"/>
  <c r="AG82" i="25"/>
  <c r="AG81" i="25"/>
  <c r="AG71" i="25"/>
  <c r="AG48" i="25"/>
  <c r="AG27" i="25"/>
  <c r="AG70" i="25"/>
  <c r="AG83" i="25"/>
  <c r="AG73" i="25"/>
  <c r="AG17" i="25"/>
  <c r="AG19" i="25" s="1"/>
  <c r="AG85" i="25"/>
  <c r="AG84" i="25"/>
  <c r="AG74" i="25"/>
  <c r="AG98" i="25"/>
  <c r="Q38" i="29" s="1"/>
  <c r="AG46" i="25"/>
  <c r="AG77" i="25"/>
  <c r="AG78" i="25"/>
  <c r="AG95" i="25"/>
  <c r="AG43" i="25"/>
  <c r="AG44" i="25"/>
  <c r="AG45" i="25"/>
  <c r="AG116" i="25" s="1"/>
  <c r="AG79" i="25"/>
  <c r="AG90" i="25"/>
  <c r="AG80" i="25"/>
  <c r="AG75" i="25"/>
  <c r="M6" i="29"/>
  <c r="AG22" i="25"/>
  <c r="AG92" i="25"/>
  <c r="AG86" i="25"/>
  <c r="AG97" i="25"/>
  <c r="AG47" i="25"/>
  <c r="AG87" i="25"/>
  <c r="AG39" i="25"/>
  <c r="AG42" i="25"/>
  <c r="AG66" i="25"/>
  <c r="AG67" i="25"/>
  <c r="AG68" i="25"/>
  <c r="AG63" i="25"/>
  <c r="AG64" i="25"/>
  <c r="AG72" i="25"/>
  <c r="Q14" i="29" s="1"/>
  <c r="AG65" i="25"/>
  <c r="AG28" i="25"/>
  <c r="AG30" i="25"/>
  <c r="AG99" i="25"/>
  <c r="AG69" i="25"/>
  <c r="AG96" i="25"/>
  <c r="W5" i="5"/>
  <c r="W6" i="5"/>
  <c r="W7" i="5"/>
  <c r="W8" i="5"/>
  <c r="W9" i="5"/>
  <c r="W10" i="5"/>
  <c r="W11" i="5"/>
  <c r="W12" i="5"/>
  <c r="W4" i="5"/>
  <c r="V5" i="5"/>
  <c r="V6" i="5"/>
  <c r="V7" i="5"/>
  <c r="V8" i="5"/>
  <c r="V9" i="5"/>
  <c r="V10" i="5"/>
  <c r="V11" i="5"/>
  <c r="V12" i="5"/>
  <c r="V4" i="5"/>
  <c r="U5" i="5"/>
  <c r="U6" i="5"/>
  <c r="U7" i="5"/>
  <c r="U8" i="5"/>
  <c r="U9" i="5"/>
  <c r="U10" i="5"/>
  <c r="U11" i="5"/>
  <c r="U12" i="5"/>
  <c r="U4" i="5"/>
  <c r="AA38" i="1"/>
  <c r="AA39" i="1"/>
  <c r="AA40" i="1"/>
  <c r="AA41" i="1"/>
  <c r="AA42" i="1"/>
  <c r="AA43" i="1"/>
  <c r="AA44" i="1"/>
  <c r="AA45" i="1"/>
  <c r="AA37" i="1"/>
  <c r="Z38" i="1"/>
  <c r="Z39" i="1"/>
  <c r="Z40" i="1"/>
  <c r="Z41" i="1"/>
  <c r="Z42" i="1"/>
  <c r="Z43" i="1"/>
  <c r="Z44" i="1"/>
  <c r="Z45" i="1"/>
  <c r="Z37" i="1"/>
  <c r="Y41" i="1"/>
  <c r="Y42" i="1"/>
  <c r="Y43" i="1"/>
  <c r="Y44" i="1"/>
  <c r="Y45" i="1"/>
  <c r="Y38" i="1"/>
  <c r="Y39" i="1"/>
  <c r="Y40" i="1"/>
  <c r="Y37" i="1"/>
  <c r="BB25" i="1"/>
  <c r="BB5" i="1"/>
  <c r="AJ219" i="25" l="1"/>
  <c r="AJ218" i="25"/>
  <c r="AJ44" i="25"/>
  <c r="AG29" i="25"/>
  <c r="AG23" i="25"/>
  <c r="AG20" i="25"/>
  <c r="AJ125" i="25" s="1"/>
  <c r="AG11" i="25"/>
  <c r="AG13" i="25" s="1"/>
  <c r="AJ9" i="25" s="1"/>
  <c r="AJ203" i="25"/>
  <c r="AJ211" i="25"/>
  <c r="AJ210" i="25"/>
  <c r="AJ204" i="25"/>
  <c r="AJ214" i="25"/>
  <c r="AJ205" i="25"/>
  <c r="AJ213" i="25"/>
  <c r="AJ206" i="25"/>
  <c r="AJ207" i="25"/>
  <c r="AJ215" i="25"/>
  <c r="AJ217" i="25"/>
  <c r="AJ202" i="25"/>
  <c r="AJ208" i="25"/>
  <c r="AJ216" i="25"/>
  <c r="AJ209" i="25"/>
  <c r="AJ13" i="25"/>
  <c r="AJ32" i="25"/>
  <c r="AJ40" i="25"/>
  <c r="AJ48" i="25"/>
  <c r="AJ56" i="25"/>
  <c r="AJ64" i="25"/>
  <c r="AJ72" i="25"/>
  <c r="AJ80" i="25"/>
  <c r="AJ88" i="25"/>
  <c r="AJ96" i="25"/>
  <c r="AJ104" i="25"/>
  <c r="AJ112" i="25"/>
  <c r="AJ128" i="25"/>
  <c r="AJ136" i="25"/>
  <c r="AJ144" i="25"/>
  <c r="AJ152" i="25"/>
  <c r="AJ160" i="25"/>
  <c r="AJ168" i="25"/>
  <c r="AJ176" i="25"/>
  <c r="AJ184" i="25"/>
  <c r="AJ192" i="25"/>
  <c r="AJ200" i="25"/>
  <c r="AJ20" i="25"/>
  <c r="AJ28" i="25"/>
  <c r="AJ33" i="25"/>
  <c r="AJ41" i="25"/>
  <c r="AJ49" i="25"/>
  <c r="AJ57" i="25"/>
  <c r="AJ65" i="25"/>
  <c r="AJ73" i="25"/>
  <c r="AJ81" i="25"/>
  <c r="AJ89" i="25"/>
  <c r="AJ105" i="25"/>
  <c r="AJ113" i="25"/>
  <c r="AJ121" i="25"/>
  <c r="AJ129" i="25"/>
  <c r="AJ137" i="25"/>
  <c r="AJ145" i="25"/>
  <c r="AJ153" i="25"/>
  <c r="AJ161" i="25"/>
  <c r="AJ169" i="25"/>
  <c r="AJ177" i="25"/>
  <c r="AJ185" i="25"/>
  <c r="AJ193" i="25"/>
  <c r="AJ201" i="25"/>
  <c r="AJ21" i="25"/>
  <c r="AJ34" i="25"/>
  <c r="AJ42" i="25"/>
  <c r="AJ50" i="25"/>
  <c r="AJ58" i="25"/>
  <c r="AJ66" i="25"/>
  <c r="AJ74" i="25"/>
  <c r="AJ82" i="25"/>
  <c r="AJ90" i="25"/>
  <c r="AJ98" i="25"/>
  <c r="AJ106" i="25"/>
  <c r="AJ114" i="25"/>
  <c r="AJ122" i="25"/>
  <c r="AJ130" i="25"/>
  <c r="AJ138" i="25"/>
  <c r="AJ146" i="25"/>
  <c r="AJ154" i="25"/>
  <c r="AJ162" i="25"/>
  <c r="AJ170" i="25"/>
  <c r="AJ178" i="25"/>
  <c r="AJ186" i="25"/>
  <c r="AJ194" i="25"/>
  <c r="AJ14" i="25"/>
  <c r="AJ22" i="25"/>
  <c r="AJ35" i="25"/>
  <c r="AJ43" i="25"/>
  <c r="AJ51" i="25"/>
  <c r="AJ59" i="25"/>
  <c r="AJ67" i="25"/>
  <c r="AJ75" i="25"/>
  <c r="AJ83" i="25"/>
  <c r="AJ91" i="25"/>
  <c r="AJ99" i="25"/>
  <c r="AJ107" i="25"/>
  <c r="AJ115" i="25"/>
  <c r="AJ123" i="25"/>
  <c r="AJ131" i="25"/>
  <c r="AJ139" i="25"/>
  <c r="AJ147" i="25"/>
  <c r="AJ155" i="25"/>
  <c r="AJ163" i="25"/>
  <c r="AJ171" i="25"/>
  <c r="AJ179" i="25"/>
  <c r="AJ187" i="25"/>
  <c r="AJ195" i="25"/>
  <c r="AJ15" i="25"/>
  <c r="AJ23" i="25"/>
  <c r="AJ36" i="25"/>
  <c r="AJ52" i="25"/>
  <c r="AJ60" i="25"/>
  <c r="AJ68" i="25"/>
  <c r="AJ76" i="25"/>
  <c r="AJ84" i="25"/>
  <c r="AJ92" i="25"/>
  <c r="AJ100" i="25"/>
  <c r="AJ108" i="25"/>
  <c r="AJ116" i="25"/>
  <c r="AJ124" i="25"/>
  <c r="AJ132" i="25"/>
  <c r="AJ140" i="25"/>
  <c r="AJ148" i="25"/>
  <c r="AJ156" i="25"/>
  <c r="AJ164" i="25"/>
  <c r="AJ172" i="25"/>
  <c r="AJ180" i="25"/>
  <c r="AJ188" i="25"/>
  <c r="AJ196" i="25"/>
  <c r="AJ16" i="25"/>
  <c r="AJ24" i="25"/>
  <c r="AJ29" i="25"/>
  <c r="AJ37" i="25"/>
  <c r="AJ45" i="25"/>
  <c r="AJ53" i="25"/>
  <c r="AJ61" i="25"/>
  <c r="AJ69" i="25"/>
  <c r="AJ77" i="25"/>
  <c r="AJ85" i="25"/>
  <c r="AJ93" i="25"/>
  <c r="AJ101" i="25"/>
  <c r="AJ109" i="25"/>
  <c r="AJ117" i="25"/>
  <c r="AJ133" i="25"/>
  <c r="AJ141" i="25"/>
  <c r="AJ149" i="25"/>
  <c r="AJ157" i="25"/>
  <c r="AJ165" i="25"/>
  <c r="AJ173" i="25"/>
  <c r="AJ181" i="25"/>
  <c r="AJ189" i="25"/>
  <c r="AJ197" i="25"/>
  <c r="AJ17" i="25"/>
  <c r="AJ25" i="25"/>
  <c r="AJ30" i="25"/>
  <c r="AJ38" i="25"/>
  <c r="AJ46" i="25"/>
  <c r="AJ54" i="25"/>
  <c r="AJ62" i="25"/>
  <c r="AJ70" i="25"/>
  <c r="AJ78" i="25"/>
  <c r="AJ86" i="25"/>
  <c r="AJ94" i="25"/>
  <c r="AJ102" i="25"/>
  <c r="AJ110" i="25"/>
  <c r="AJ118" i="25"/>
  <c r="AJ126" i="25"/>
  <c r="AJ134" i="25"/>
  <c r="AJ142" i="25"/>
  <c r="AJ150" i="25"/>
  <c r="AJ158" i="25"/>
  <c r="AJ166" i="25"/>
  <c r="AJ174" i="25"/>
  <c r="AJ182" i="25"/>
  <c r="AJ190" i="25"/>
  <c r="AJ198" i="25"/>
  <c r="AJ18" i="25"/>
  <c r="AJ26" i="25"/>
  <c r="AJ31" i="25"/>
  <c r="AJ39" i="25"/>
  <c r="AJ47" i="25"/>
  <c r="AJ55" i="25"/>
  <c r="AJ63" i="25"/>
  <c r="AJ71" i="25"/>
  <c r="AJ79" i="25"/>
  <c r="AJ87" i="25"/>
  <c r="AJ95" i="25"/>
  <c r="AJ103" i="25"/>
  <c r="AJ111" i="25"/>
  <c r="AJ119" i="25"/>
  <c r="AJ127" i="25"/>
  <c r="AJ135" i="25"/>
  <c r="AJ143" i="25"/>
  <c r="AJ151" i="25"/>
  <c r="AJ159" i="25"/>
  <c r="AJ167" i="25"/>
  <c r="AJ175" i="25"/>
  <c r="AJ183" i="25"/>
  <c r="AJ191" i="25"/>
  <c r="AJ199" i="25"/>
  <c r="AJ19" i="25"/>
  <c r="AJ27" i="25"/>
  <c r="M13" i="29"/>
  <c r="M33" i="29"/>
  <c r="M39" i="29"/>
  <c r="M25" i="29"/>
  <c r="M40" i="29"/>
  <c r="M38" i="29"/>
  <c r="M47" i="29"/>
  <c r="M22" i="29"/>
  <c r="Q25" i="29"/>
  <c r="M42" i="29"/>
  <c r="M43" i="29"/>
  <c r="M44" i="29"/>
  <c r="M41" i="29"/>
  <c r="M48" i="29"/>
  <c r="Q49" i="29"/>
  <c r="Q12" i="29"/>
  <c r="Q30" i="29"/>
  <c r="Q43" i="29"/>
  <c r="Q40" i="29"/>
  <c r="Q24" i="29"/>
  <c r="Q54" i="29"/>
  <c r="Q17" i="29"/>
  <c r="Q51" i="29"/>
  <c r="Q44" i="29"/>
  <c r="Q41" i="29"/>
  <c r="Q13" i="29"/>
  <c r="Q48" i="29"/>
  <c r="Q52" i="29"/>
  <c r="Q31" i="29"/>
  <c r="Q42" i="29"/>
  <c r="Q45" i="29"/>
  <c r="Q50" i="29"/>
  <c r="Q53" i="29"/>
  <c r="Q39" i="29"/>
  <c r="Q37" i="29"/>
  <c r="Q15" i="29"/>
  <c r="Q32" i="29"/>
  <c r="Q47" i="29"/>
  <c r="Q46" i="29"/>
  <c r="Q36" i="29"/>
  <c r="M46" i="29"/>
  <c r="M20" i="29"/>
  <c r="Q21" i="29"/>
  <c r="Q19" i="29"/>
  <c r="M51" i="29"/>
  <c r="M45" i="29"/>
  <c r="M36" i="29"/>
  <c r="Q22" i="29"/>
  <c r="M50" i="29"/>
  <c r="Q34" i="29"/>
  <c r="Q20" i="29"/>
  <c r="Q18" i="29"/>
  <c r="Q23" i="29"/>
  <c r="M24" i="29"/>
  <c r="M49" i="29"/>
  <c r="Q27" i="29"/>
  <c r="M18" i="29"/>
  <c r="M35" i="29"/>
  <c r="Q33" i="29"/>
  <c r="M34" i="29"/>
  <c r="M15" i="29"/>
  <c r="M31" i="29"/>
  <c r="M16" i="29"/>
  <c r="Q16" i="29"/>
  <c r="M27" i="29"/>
  <c r="M19" i="29"/>
  <c r="M30" i="29"/>
  <c r="M29" i="29"/>
  <c r="M32" i="29"/>
  <c r="M21" i="29"/>
  <c r="Q28" i="29"/>
  <c r="M28" i="29"/>
  <c r="Q35" i="29"/>
  <c r="Q26" i="29"/>
  <c r="M37" i="29"/>
  <c r="Q29" i="29"/>
  <c r="AJ120" i="25"/>
  <c r="AJ97" i="25"/>
  <c r="M12" i="29"/>
  <c r="M9" i="29" l="1"/>
  <c r="AJ212" i="25"/>
  <c r="M14" i="29"/>
  <c r="M17" i="29"/>
  <c r="M23" i="29"/>
  <c r="M26" i="2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Jackie Murison, FCIP, CRM, ICP</author>
  </authors>
  <commentList>
    <comment ref="C2" authorId="0" shapeId="0" xr:uid="{00000000-0006-0000-1200-000001000000}">
      <text>
        <r>
          <rPr>
            <b/>
            <sz val="9"/>
            <color indexed="81"/>
            <rFont val="Tahoma"/>
            <family val="2"/>
          </rPr>
          <t>Jackie Murison, FCIP, CRM, ICP:</t>
        </r>
        <r>
          <rPr>
            <sz val="9"/>
            <color indexed="81"/>
            <rFont val="Tahoma"/>
            <family val="2"/>
          </rPr>
          <t xml:space="preserve">
We need to define which construction types fall into the various classes.
In addition, we need to define which grades fall into the various categories.</t>
        </r>
      </text>
    </comment>
    <comment ref="C11" authorId="0" shapeId="0" xr:uid="{00000000-0006-0000-1200-000002000000}">
      <text>
        <r>
          <rPr>
            <b/>
            <sz val="9"/>
            <color indexed="81"/>
            <rFont val="Tahoma"/>
            <family val="2"/>
          </rPr>
          <t>Jackie Murison, FCIP, CRM, ICP:</t>
        </r>
        <r>
          <rPr>
            <sz val="9"/>
            <color indexed="81"/>
            <rFont val="Tahoma"/>
            <family val="2"/>
          </rPr>
          <t xml:space="preserve">
We need to define which construction types fall into the various classes.
In addition, we need to define which grades fall into the various categories.</t>
        </r>
      </text>
    </comment>
    <comment ref="C20" authorId="0" shapeId="0" xr:uid="{00000000-0006-0000-1200-000003000000}">
      <text>
        <r>
          <rPr>
            <b/>
            <sz val="9"/>
            <color indexed="81"/>
            <rFont val="Tahoma"/>
            <family val="2"/>
          </rPr>
          <t>Jackie Murison, FCIP, CRM, ICP:</t>
        </r>
        <r>
          <rPr>
            <sz val="9"/>
            <color indexed="81"/>
            <rFont val="Tahoma"/>
            <family val="2"/>
          </rPr>
          <t xml:space="preserve">
We need to define which construction types fall into the various classes.
In addition, we need to define which grades fall into the various categories.</t>
        </r>
      </text>
    </comment>
    <comment ref="C29" authorId="0" shapeId="0" xr:uid="{00000000-0006-0000-1200-000004000000}">
      <text>
        <r>
          <rPr>
            <b/>
            <sz val="9"/>
            <color indexed="81"/>
            <rFont val="Tahoma"/>
            <family val="2"/>
          </rPr>
          <t>Jackie Murison, FCIP, CRM, ICP:</t>
        </r>
        <r>
          <rPr>
            <sz val="9"/>
            <color indexed="81"/>
            <rFont val="Tahoma"/>
            <family val="2"/>
          </rPr>
          <t xml:space="preserve">
We need to define which construction types fall into the various classes.
In addition, we need to define which grades fall into the various categories.</t>
        </r>
      </text>
    </comment>
    <comment ref="E56" authorId="0" shapeId="0" xr:uid="{00000000-0006-0000-1200-000005000000}">
      <text>
        <r>
          <rPr>
            <b/>
            <sz val="9"/>
            <color indexed="81"/>
            <rFont val="Tahoma"/>
            <family val="2"/>
          </rPr>
          <t>Jackie Murison, FCIP, CRM, ICP:</t>
        </r>
        <r>
          <rPr>
            <sz val="9"/>
            <color indexed="81"/>
            <rFont val="Tahoma"/>
            <family val="2"/>
          </rPr>
          <t xml:space="preserve">
Flat Rates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Jackie Murison</author>
  </authors>
  <commentList>
    <comment ref="J4" authorId="0" shapeId="0" xr:uid="{00000000-0006-0000-0300-000001000000}">
      <text>
        <r>
          <rPr>
            <b/>
            <sz val="9"/>
            <color indexed="81"/>
            <rFont val="Tahoma"/>
            <family val="2"/>
          </rPr>
          <t>Jackie Murison:</t>
        </r>
        <r>
          <rPr>
            <sz val="9"/>
            <color indexed="81"/>
            <rFont val="Tahoma"/>
            <family val="2"/>
          </rPr>
          <t xml:space="preserve">
Rates per hundred are generated from a combination of Fire protection, Building Construction Class and Occupancy.</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Jackie Murison, FCIP, CRM, ICP</author>
  </authors>
  <commentList>
    <comment ref="C5" authorId="0" shapeId="0" xr:uid="{00000000-0006-0000-0E00-000001000000}">
      <text>
        <r>
          <rPr>
            <b/>
            <sz val="9"/>
            <color indexed="81"/>
            <rFont val="Tahoma"/>
            <family val="2"/>
          </rPr>
          <t>Jackie Murison, FCIP, CRM, ICP:</t>
        </r>
        <r>
          <rPr>
            <sz val="9"/>
            <color indexed="81"/>
            <rFont val="Tahoma"/>
            <family val="2"/>
          </rPr>
          <t xml:space="preserve">
Does this matter regardless of the bundle type?</t>
        </r>
      </text>
    </comment>
    <comment ref="C11" authorId="0" shapeId="0" xr:uid="{00000000-0006-0000-0E00-000002000000}">
      <text>
        <r>
          <rPr>
            <b/>
            <sz val="9"/>
            <color indexed="81"/>
            <rFont val="Tahoma"/>
            <family val="2"/>
          </rPr>
          <t>Jackie Murison, FCIP, CRM, ICP:</t>
        </r>
        <r>
          <rPr>
            <sz val="9"/>
            <color indexed="81"/>
            <rFont val="Tahoma"/>
            <family val="2"/>
          </rPr>
          <t xml:space="preserve">
Does this matter regardless of the bundle type?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<sst xmlns="http://schemas.openxmlformats.org/spreadsheetml/2006/main" count="7556" uniqueCount="3664">
  <si>
    <t>Apartment Package: Minimum premium $600</t>
  </si>
  <si>
    <t>Fire Protection</t>
  </si>
  <si>
    <t>Grade 1 - Hydrant</t>
  </si>
  <si>
    <t>Grade 2 - Fire hall</t>
  </si>
  <si>
    <t>Grade 3 - Unprotected</t>
  </si>
  <si>
    <t>Building Construction Classes</t>
  </si>
  <si>
    <t>Class A</t>
  </si>
  <si>
    <t>Class B</t>
  </si>
  <si>
    <t>Class C</t>
  </si>
  <si>
    <t>PackageType</t>
  </si>
  <si>
    <t>Apartment</t>
  </si>
  <si>
    <t>Deductible 1000</t>
  </si>
  <si>
    <t>Deductible 2500</t>
  </si>
  <si>
    <t>Discount detached</t>
  </si>
  <si>
    <t>Discount concrete</t>
  </si>
  <si>
    <t>Discount OwnerOcc</t>
  </si>
  <si>
    <t>Discount ClaimsFree</t>
  </si>
  <si>
    <t>CGL $1M</t>
  </si>
  <si>
    <t>CGL $2M</t>
  </si>
  <si>
    <t>Mandatory Coverages</t>
  </si>
  <si>
    <t>Loss of Income-Rental</t>
  </si>
  <si>
    <t>Loss of Income-Gross Rents</t>
  </si>
  <si>
    <t>Comments:</t>
  </si>
  <si>
    <t xml:space="preserve"> </t>
  </si>
  <si>
    <t>(Liabilitypremiums saved to Additionalagreements [50] and inoutrobbery [25])</t>
  </si>
  <si>
    <t>Discounts are added together and then deducted from base rate per hundred</t>
  </si>
  <si>
    <t>0.75 of Base rate</t>
  </si>
  <si>
    <t>100% of base rate</t>
  </si>
  <si>
    <t>Money &amp; Securities $2,500</t>
  </si>
  <si>
    <t>Money &amp; Securities $5,000</t>
  </si>
  <si>
    <t>Comprehensive 3D $2,500</t>
  </si>
  <si>
    <t>Comprehensive 3D $5,000</t>
  </si>
  <si>
    <t>Add'l Agreements increase by $5,000</t>
  </si>
  <si>
    <t>Add'l Agreements increase by $20,000</t>
  </si>
  <si>
    <t>Sewer,Sump $2,500</t>
  </si>
  <si>
    <t>Sewer,Sump
$5,000</t>
  </si>
  <si>
    <t>Sewer, Sump
$10,000</t>
  </si>
  <si>
    <t>Sewer, Sump
$25,000</t>
  </si>
  <si>
    <t>Sewer, Sump
Building/Contents Limit</t>
  </si>
  <si>
    <t>Decrease Ded to $100 - Glass and Signs</t>
  </si>
  <si>
    <t>Minimum Premium</t>
  </si>
  <si>
    <t>Optional Coverages - No discounts apply</t>
  </si>
  <si>
    <t>Swimming Pool Extension $1M</t>
  </si>
  <si>
    <t>Indoor Parking $1M</t>
  </si>
  <si>
    <t>Swimming Pool Extension $2M</t>
  </si>
  <si>
    <t>Indoor Parking $2M</t>
  </si>
  <si>
    <t>n/a</t>
  </si>
  <si>
    <t>&lt;$250,000</t>
  </si>
  <si>
    <t>&gt;=$1,000,000&lt;$2,000,000</t>
  </si>
  <si>
    <t>&gt;=$500,000 &lt;$1,000,000</t>
  </si>
  <si>
    <t>Earthquake 
Limit of Coverage applicable</t>
  </si>
  <si>
    <t>&gt;=$250,000 &lt;$500,000</t>
  </si>
  <si>
    <t>Earthquake Zones
(0 &amp; 1) equals Territory 1
Premium</t>
  </si>
  <si>
    <t>Earthquake Zones
2 equals Territory 2&amp;3
Premium</t>
  </si>
  <si>
    <t>Employers Liability</t>
  </si>
  <si>
    <t>Excess Liability
$1 over $2
($3M total)</t>
  </si>
  <si>
    <t>Excess Liability
$2 over $2
($4M total)</t>
  </si>
  <si>
    <t>Excess Liability
$3 over $2M
(Total of $5M)</t>
  </si>
  <si>
    <t>Excess Liability
$4 over $2M
(Total of $6M)</t>
  </si>
  <si>
    <t>Excess Liability
$5 over $2M
(Total of $7M)</t>
  </si>
  <si>
    <t>Excess Liability
$6 over $2M
(Total of $5M)</t>
  </si>
  <si>
    <t>Excess Liability
$7 over $2M
(Total of $9M)</t>
  </si>
  <si>
    <t>Excess Liability
$8 over $2M
(Total of $10M)</t>
  </si>
  <si>
    <t>20% of $2M limit, subject to $100 minimum</t>
  </si>
  <si>
    <t>30% of $2M limit, subject to $170 minimum</t>
  </si>
  <si>
    <t>40% of $2M limit, subject to $250 minimum</t>
  </si>
  <si>
    <t>80% of $2M limit, subject to $500 minimum</t>
  </si>
  <si>
    <t>50% of $2M premium, min $330</t>
  </si>
  <si>
    <t>59% of $2M premium, subject to $380 minimum</t>
  </si>
  <si>
    <t>67% of $2M premium, minim $420</t>
  </si>
  <si>
    <t>74% of $2M premium, min $460</t>
  </si>
  <si>
    <t>Non-owned auto subject to add'l
$40</t>
  </si>
  <si>
    <t>Non-owned auto subject to add'l
$47</t>
  </si>
  <si>
    <t>Non-owned auto subject to add'l
$54</t>
  </si>
  <si>
    <t>Non-owned auto subject to add'l
$62</t>
  </si>
  <si>
    <t>Non-owned auto subject to add'l
$80</t>
  </si>
  <si>
    <t>Non-owned auto subject to add'l
$71</t>
  </si>
  <si>
    <t>Non-owned auto subject to add'l
$35</t>
  </si>
  <si>
    <t>Non-owned auto subject to add'l
$30</t>
  </si>
  <si>
    <t>$75/employee</t>
  </si>
  <si>
    <t>Cyber One $50K
Deductibles</t>
  </si>
  <si>
    <t>Cyber One $50K
Applicable Premium</t>
  </si>
  <si>
    <t xml:space="preserve">Cyber One $100K
Deductibles
 </t>
  </si>
  <si>
    <t>CyberOne
$100K
Premiums</t>
  </si>
  <si>
    <t>Data Compromise 1st party
Deductibles</t>
  </si>
  <si>
    <t>Data Compromise 1st party
Premium</t>
  </si>
  <si>
    <t>Data Compromise 1st and 3rd party
Deductibles</t>
  </si>
  <si>
    <t>Data Compromise 1st party &amp; 3rd Party
Premiums</t>
  </si>
  <si>
    <r>
      <t xml:space="preserve">If </t>
    </r>
    <r>
      <rPr>
        <b/>
        <sz val="11"/>
        <color theme="1"/>
        <rFont val="Calibri"/>
        <family val="2"/>
        <scheme val="minor"/>
      </rPr>
      <t>$1M liability</t>
    </r>
    <r>
      <rPr>
        <sz val="11"/>
        <color theme="1"/>
        <rFont val="Calibri"/>
        <family val="2"/>
        <scheme val="minor"/>
      </rPr>
      <t>, and property is less than $325, property premium must be increased to min. $325</t>
    </r>
  </si>
  <si>
    <r>
      <t xml:space="preserve">If </t>
    </r>
    <r>
      <rPr>
        <b/>
        <sz val="11"/>
        <color theme="1"/>
        <rFont val="Calibri"/>
        <family val="2"/>
        <scheme val="minor"/>
      </rPr>
      <t>$2M liability</t>
    </r>
    <r>
      <rPr>
        <sz val="11"/>
        <color theme="1"/>
        <rFont val="Calibri"/>
        <family val="2"/>
        <scheme val="minor"/>
      </rPr>
      <t>, and property is less than $325, property premium must be increased to min. $275</t>
    </r>
  </si>
  <si>
    <t>Equipment Breakdown
Subject to minimum $40
100% ceded to Farm Mutual Re  (min $40 is not added ontop of min package premium)</t>
  </si>
  <si>
    <t>Apartment Package - Qualification</t>
  </si>
  <si>
    <t>No industrial occupancies</t>
  </si>
  <si>
    <t>Office exposures, use office rates</t>
  </si>
  <si>
    <t>Rate per hundred if office exposures</t>
  </si>
  <si>
    <t>Select applicable retail exposure</t>
  </si>
  <si>
    <t>Rate per hundred if retail exposure</t>
  </si>
  <si>
    <t>Building Age and HERP</t>
  </si>
  <si>
    <t>BVS required 90% replacement cost</t>
  </si>
  <si>
    <t>Rules required to determine rate and acceptability</t>
  </si>
  <si>
    <t>Built in last 25 years (deduct from year built field)</t>
  </si>
  <si>
    <t>Instructions for reading this spreadsheet.  Each topic is indicated across row 4, Read the information from top to bottom.</t>
  </si>
  <si>
    <t>Occupancy - Acceptable</t>
  </si>
  <si>
    <t xml:space="preserve">2-12 units rental apartment buildings
Self-contained units - no student rentals or rooming houses
Buildings must be classed as superior in upkeep and location.
Be self-contained units (individual washroom and kitchen facilities) 
Requires Building, Crime and Liability Coverage to qualify
</t>
  </si>
  <si>
    <t>Apartment Package - Unacceptable</t>
  </si>
  <si>
    <t>No retrofitted single family residential homes</t>
  </si>
  <si>
    <t>No woodstoves, space heaters, commercial deep fat food frying in the building</t>
  </si>
  <si>
    <t>No vacant sections in the building</t>
  </si>
  <si>
    <t>HERP updated in last 10 years (if age of building is &gt;=25 years)</t>
  </si>
  <si>
    <t>Indicator to identify BVS completed and attachment of same</t>
  </si>
  <si>
    <t>Binding Limit</t>
  </si>
  <si>
    <t>If building limit is &gt;$2,000,000, underwriter must review and approve</t>
  </si>
  <si>
    <t>Binding Limit for Liability</t>
  </si>
  <si>
    <t>Maximum Liability Limit $2M.  If higher limit, underwriter must review and approve</t>
  </si>
  <si>
    <t>Pollution Liability - Class 2
Maximum limit $100,000</t>
  </si>
  <si>
    <t>Retail</t>
  </si>
  <si>
    <t xml:space="preserve">Liability premium calculates correctly, user must manually increase the package premium (under property coverages) to ensure the minimum premium is applied. </t>
  </si>
  <si>
    <t>Package Coverage Required</t>
  </si>
  <si>
    <t>Property (building)</t>
  </si>
  <si>
    <t>Crime coverage (i/o robbery included)</t>
  </si>
  <si>
    <t>Liability</t>
  </si>
  <si>
    <t>Inside/Outside Robbery $1,000</t>
  </si>
  <si>
    <t>Included</t>
  </si>
  <si>
    <r>
      <t>Occupancy -</t>
    </r>
    <r>
      <rPr>
        <i/>
        <sz val="11"/>
        <color rgb="FFFF0000"/>
        <rFont val="Calibri"/>
        <family val="2"/>
        <scheme val="minor"/>
      </rPr>
      <t xml:space="preserve"> Unacceptable</t>
    </r>
  </si>
  <si>
    <t>Retail Package - Qualification</t>
  </si>
  <si>
    <t xml:space="preserve">Retail Stores - named insured must operate the retail store (contents coverage if renting building)  (building and contents coverage if owner of building)
Retail Store building may have offices within the building
Retail Store building may have apartments (residential) within the building.
Maximum 10 employees
No more than 2-employees engaged in repairs, alteration or installations
Store may not be open past midnight
</t>
  </si>
  <si>
    <t>Retail Package - Unacceptable</t>
  </si>
  <si>
    <t>Seasonal operations</t>
  </si>
  <si>
    <t>Open past midnight</t>
  </si>
  <si>
    <t>Heat - acceptable</t>
  </si>
  <si>
    <t>Heat - Unacceptable</t>
  </si>
  <si>
    <t>Central Furnace</t>
  </si>
  <si>
    <t>Central Furnace - if oil, require rule to gather data regarding tank</t>
  </si>
  <si>
    <t>Electric baseboard</t>
  </si>
  <si>
    <t>Utilize CSIO heating list with applicable rules</t>
  </si>
  <si>
    <t>Woodstove</t>
  </si>
  <si>
    <t>Space heater</t>
  </si>
  <si>
    <t>Minimum Package Premium:</t>
  </si>
  <si>
    <t>Minimum Package Premium $700</t>
  </si>
  <si>
    <t>Alarm Certificate Rule</t>
  </si>
  <si>
    <t>Any Class 3 risks, an alarm certificate is required.</t>
  </si>
  <si>
    <t>Class</t>
  </si>
  <si>
    <t>Artist and Drafting supplies</t>
  </si>
  <si>
    <t>Bakery (No deep fat frying)</t>
  </si>
  <si>
    <t>Barber, beauty salon (no hair implants, electrolysis or artificial tanning, professional liability optional)</t>
  </si>
  <si>
    <t>Bathroom, Rattan, Wicker</t>
  </si>
  <si>
    <t>Bicycles and Supplies</t>
  </si>
  <si>
    <t>3**</t>
  </si>
  <si>
    <t>Books and Stationery</t>
  </si>
  <si>
    <t>Butcher (No cooking, smoking, slaughtering)</t>
  </si>
  <si>
    <t>Camera and Photo Supplies</t>
  </si>
  <si>
    <t>Carpets, Rugs, Draperies, Blinds</t>
  </si>
  <si>
    <t>China, Glassware, Pottery</t>
  </si>
  <si>
    <t>Clothing</t>
  </si>
  <si>
    <t>Computers (Sales only, no programming)</t>
  </si>
  <si>
    <t>Convenience (No tobacco carried) – (If tobacco Class 3 applies)</t>
  </si>
  <si>
    <t>Delicatessen (Warming foods only)</t>
  </si>
  <si>
    <t>Drug Stores (Professional Liability available option)</t>
  </si>
  <si>
    <t>Dry Goods</t>
  </si>
  <si>
    <t>Electrical Supplies</t>
  </si>
  <si>
    <t xml:space="preserve">Electronic Equipment </t>
  </si>
  <si>
    <t>Fabric, Notions, Sewing Machines</t>
  </si>
  <si>
    <t>Farm feed and supplies (no mixing and or bagging)</t>
  </si>
  <si>
    <t>Florists (excluding greenhouses)</t>
  </si>
  <si>
    <t>Food Specialities (fruits, vegetables, etc.)</t>
  </si>
  <si>
    <t xml:space="preserve">Furniture &amp; Appliances (No T.V., stereos) </t>
  </si>
  <si>
    <t>Gifts and Novelties</t>
  </si>
  <si>
    <t>Hardware (No guns or ammunition)</t>
  </si>
  <si>
    <t>Hobby Stores</t>
  </si>
  <si>
    <t>Kitchen Accessories</t>
  </si>
  <si>
    <t>Luggage and Leather Accessories – (No Clothing)</t>
  </si>
  <si>
    <t>Music (CDs, tapes, Instruments)</t>
  </si>
  <si>
    <t>Office Equipment - (If any Electronics Class 3)</t>
  </si>
  <si>
    <t>Optical Goods and Hearing Aids</t>
  </si>
  <si>
    <t>Paint and Wallpaper</t>
  </si>
  <si>
    <t>Pet &amp; Pet Supplies</t>
  </si>
  <si>
    <t>Plumbing Supplies (Retail Sales only)</t>
  </si>
  <si>
    <t>Shoes and Boots</t>
  </si>
  <si>
    <t>Sporting Goods (No guns and ammunition) (If any guns or ammunition refer)</t>
  </si>
  <si>
    <t>Toy &amp; Games (If any Electronic Games Class 3 applies)</t>
  </si>
  <si>
    <t>Retail Package Occupancy (Use highest classification if more than one product line)</t>
  </si>
  <si>
    <t>General Store - with Tobacco</t>
  </si>
  <si>
    <t>General Store - Without Tobacco</t>
  </si>
  <si>
    <t>Groceries - with tobacco</t>
  </si>
  <si>
    <t>Groceries - without tobacco</t>
  </si>
  <si>
    <t>Variety - Without tobacco products</t>
  </si>
  <si>
    <t>Variety - with tobacco</t>
  </si>
  <si>
    <t>Rates are based upon a combination of theft protection class, fire hall protection and building construction.  A lookup is required to determine the applicable rate</t>
  </si>
  <si>
    <t>Theft Protection Requirements</t>
  </si>
  <si>
    <t>Occupancy Class</t>
  </si>
  <si>
    <t xml:space="preserve">Class 1 </t>
  </si>
  <si>
    <t xml:space="preserve">All doors and windows must be securely locked when the business is closed. </t>
  </si>
  <si>
    <t>Class 2</t>
  </si>
  <si>
    <r>
      <t xml:space="preserve">Same as Class 1 </t>
    </r>
    <r>
      <rPr>
        <b/>
        <sz val="10"/>
        <color theme="1"/>
        <rFont val="Arial"/>
        <family val="2"/>
      </rPr>
      <t>plus</t>
    </r>
    <r>
      <rPr>
        <sz val="10"/>
        <color theme="1"/>
        <rFont val="Arial"/>
        <family val="2"/>
      </rPr>
      <t xml:space="preserve"> all doors must be locked with </t>
    </r>
    <r>
      <rPr>
        <b/>
        <u/>
        <sz val="10"/>
        <color theme="1"/>
        <rFont val="Arial"/>
        <family val="2"/>
      </rPr>
      <t>double cylinder</t>
    </r>
    <r>
      <rPr>
        <sz val="10"/>
        <color theme="1"/>
        <rFont val="Arial"/>
        <family val="2"/>
      </rPr>
      <t xml:space="preserve"> dead bolt locks and all rear windows are protected by bars or mesh.</t>
    </r>
  </si>
  <si>
    <t>Class 3</t>
  </si>
  <si>
    <r>
      <t xml:space="preserve">Same as Class 2 </t>
    </r>
    <r>
      <rPr>
        <b/>
        <sz val="10"/>
        <color theme="1"/>
        <rFont val="Arial"/>
        <family val="2"/>
      </rPr>
      <t>plus</t>
    </r>
    <r>
      <rPr>
        <sz val="10"/>
        <color theme="1"/>
        <rFont val="Arial"/>
        <family val="2"/>
      </rPr>
      <t xml:space="preserve"> location must have </t>
    </r>
    <r>
      <rPr>
        <b/>
        <u/>
        <sz val="10"/>
        <color theme="1"/>
        <rFont val="Arial"/>
        <family val="2"/>
      </rPr>
      <t>full perimeter and space</t>
    </r>
    <r>
      <rPr>
        <sz val="10"/>
        <color theme="1"/>
        <rFont val="Arial"/>
        <family val="2"/>
      </rPr>
      <t xml:space="preserve"> </t>
    </r>
    <r>
      <rPr>
        <b/>
        <u/>
        <sz val="10"/>
        <color theme="1"/>
        <rFont val="Arial"/>
        <family val="2"/>
      </rPr>
      <t>alarm</t>
    </r>
    <r>
      <rPr>
        <sz val="10"/>
        <color theme="1"/>
        <rFont val="Arial"/>
        <family val="2"/>
      </rPr>
      <t xml:space="preserve"> protection. The alarm system must be connected to a ULC listed monitoring station. An alarm certificate must accompany the application. (Note: Policy is subject to Alarm Warranty)</t>
    </r>
  </si>
  <si>
    <t>Building and Contents Rates (Subject to Discounts on Next Page)</t>
  </si>
  <si>
    <t>Occupancy Class 1</t>
  </si>
  <si>
    <t>Hydrant</t>
  </si>
  <si>
    <t>Fire hall</t>
  </si>
  <si>
    <t>Unprotected</t>
  </si>
  <si>
    <t>Building</t>
  </si>
  <si>
    <t>Contents</t>
  </si>
  <si>
    <t>A.</t>
  </si>
  <si>
    <t>B.</t>
  </si>
  <si>
    <t>C.</t>
  </si>
  <si>
    <t>Occupancy Class 2</t>
  </si>
  <si>
    <t>Occupancy Class 3</t>
  </si>
  <si>
    <t>Extended Loss of Income</t>
  </si>
  <si>
    <t>Actual Loss Sustained</t>
  </si>
  <si>
    <t>$10,000 limit included.  Any limit &gt;$10,000 utilizes building rate.</t>
  </si>
  <si>
    <t>No limit populates, check IBSV to see if rate is generated with same limits as contents limit.   (Ordinary Payroll $10,000 limit included [any increase in these limits should be displaying on declaration page]).</t>
  </si>
  <si>
    <t>Rate: Same as building rate.</t>
  </si>
  <si>
    <t>Flat $100 premium.</t>
  </si>
  <si>
    <t>If Actual Loss Sustained is selected, Extended Loss of Income cannot be allowed.</t>
  </si>
  <si>
    <t>Ordinary Payroll</t>
  </si>
  <si>
    <t>Ordinary Payroll is included in Extended Loss of Income and/or Actual Loss Sustained, for a limit of $10,000.  Options to increase limits of coverage.</t>
  </si>
  <si>
    <t>Optional Limits and Premium:
Increase to $25,000, Premium of $25.</t>
  </si>
  <si>
    <t>Optional Limits and Premium:
Optional Limits and Premium:
Increase to $50,000, Premium of $50.</t>
  </si>
  <si>
    <t>Buy up specific limits of coverage for contents $1,000 included.  Purchase &gt;$1,000 up to $5,000</t>
  </si>
  <si>
    <t>$25/$1,000 increase</t>
  </si>
  <si>
    <t>$2/$100</t>
  </si>
  <si>
    <t>Portable Computers, Limits per $100</t>
  </si>
  <si>
    <t>Rental residential or commercial units</t>
  </si>
  <si>
    <t>$25/unit (same premium regardless of liability limt)</t>
  </si>
  <si>
    <t>Malpractice Liability Extension</t>
  </si>
  <si>
    <t>Only permitted for beauty parlor or barbershop malpractice</t>
  </si>
  <si>
    <t>$1M: $75/operator</t>
  </si>
  <si>
    <t>$2M: $100 per operator</t>
  </si>
  <si>
    <t>Broad Form Completed Operations</t>
  </si>
  <si>
    <t>Requires underwriting approval</t>
  </si>
  <si>
    <t>Rule required: only for installation/contractors exposure</t>
  </si>
  <si>
    <t>Charge is $25</t>
  </si>
  <si>
    <t>Premium is dependent upon the retail operation</t>
  </si>
  <si>
    <t>Property (building and/or property)</t>
  </si>
  <si>
    <t>(Liabilitypremiums saved to Additionalagreements [50] and inoutrobbery [50])</t>
  </si>
  <si>
    <t>Office</t>
  </si>
  <si>
    <t>Construction Classes</t>
  </si>
  <si>
    <t>Fire resistive or non-combustible with steel deck roof.</t>
  </si>
  <si>
    <t>Major construction solid brick, concrete block, concrete stone, hollow tile, brick veneer, and steel on steel framing.</t>
  </si>
  <si>
    <t>All other Constructions</t>
  </si>
  <si>
    <t>Fire Hall Protection</t>
  </si>
  <si>
    <t>Premises within 305 metres of two fully pressurized fire hydrants.</t>
  </si>
  <si>
    <t>Grade 2 - Fire Hall</t>
  </si>
  <si>
    <t>Premises on a year round accessible road within 8 km (by road) of a Permanent or Volunteer Fire Brigade where there is an agreement to service the area.</t>
  </si>
  <si>
    <t>Premises on a year round accessible road over 8 Km (by road) of a Permanent or Volunteer Fire Brigade where there is an agreement to service the area.</t>
  </si>
  <si>
    <t>Combined property, crime and liability the package premium must not be less than $600.  Liability has a separate subtotal minimum premium.  If combined less than the minimum, then the deficit is made up in an increased property premium.</t>
  </si>
  <si>
    <t>Combined property, crime and liability the package premium must not be less than $700.  Liability has a separate subtotal minimum premium.  If combined less than the minimum, then the deficit is made up in an increased property premium.</t>
  </si>
  <si>
    <r>
      <t xml:space="preserve">If </t>
    </r>
    <r>
      <rPr>
        <b/>
        <sz val="11"/>
        <color theme="1"/>
        <rFont val="Calibri"/>
        <family val="2"/>
        <scheme val="minor"/>
      </rPr>
      <t>$1M liability</t>
    </r>
    <r>
      <rPr>
        <sz val="11"/>
        <color theme="1"/>
        <rFont val="Calibri"/>
        <family val="2"/>
        <scheme val="minor"/>
      </rPr>
      <t>, and property is less than $300, property premium must be increased to min. $300</t>
    </r>
  </si>
  <si>
    <r>
      <t xml:space="preserve">If </t>
    </r>
    <r>
      <rPr>
        <b/>
        <sz val="11"/>
        <color theme="1"/>
        <rFont val="Calibri"/>
        <family val="2"/>
        <scheme val="minor"/>
      </rPr>
      <t>$2M liability</t>
    </r>
    <r>
      <rPr>
        <sz val="11"/>
        <color theme="1"/>
        <rFont val="Calibri"/>
        <family val="2"/>
        <scheme val="minor"/>
      </rPr>
      <t>, and property is less than $275, property premium must be increased to min. $275</t>
    </r>
  </si>
  <si>
    <t>Offices for manufacturing or contracting operations</t>
  </si>
  <si>
    <t>Banking institutions</t>
  </si>
  <si>
    <t>Trust and Finance Companies</t>
  </si>
  <si>
    <t>Post Offices or Foreign exchange dealers</t>
  </si>
  <si>
    <t>Detective agencies, private investigators, security firms or collection agencies</t>
  </si>
  <si>
    <t>Travel tour operators (Travel agents are eligible)</t>
  </si>
  <si>
    <t>Architect, engineers or land surveyors</t>
  </si>
  <si>
    <t xml:space="preserve">Offices in buildings with the following occupancies (unless the building is an enclosed shopping mall, underground concourse or high rise office building) – restaurants, bowling alleys, billiard parlours, amusement arcades, bars, taverns, garages, service stations or manufacturers </t>
  </si>
  <si>
    <t>Full computer service operations</t>
  </si>
  <si>
    <t>Computer programming offices</t>
  </si>
  <si>
    <t xml:space="preserve">Environmental consultants </t>
  </si>
  <si>
    <t>Nutrient Management consultants</t>
  </si>
  <si>
    <t>Computer consultants</t>
  </si>
  <si>
    <t>Internet Service providers (ISP)</t>
  </si>
  <si>
    <t>Any risk with substantial off premises exposures – If in doubt please refer.</t>
  </si>
  <si>
    <t>Office Package - NOT eligible</t>
  </si>
  <si>
    <t>Office Occupancy should be an exception list.  All are acceptable except list</t>
  </si>
  <si>
    <t>Rate per hundred for acceptable package occupancy - Building</t>
  </si>
  <si>
    <t>Rate per hundred for acceptable package occupancy - Contents</t>
  </si>
  <si>
    <t>Indicator to identify BVS completed and attachment of same (only IF building is insured)</t>
  </si>
  <si>
    <t>Included with a limit of $50,000.</t>
  </si>
  <si>
    <t>To increase, utilize building rate</t>
  </si>
  <si>
    <t>Extra Expense</t>
  </si>
  <si>
    <t>User should be messaged to either increase add'l agreements up to $25,000 or leave these at $10,000 and only purchase extra expense coverage</t>
  </si>
  <si>
    <t>Charge building rate x 2.5</t>
  </si>
  <si>
    <t>This will require configuration on declaration page to build out this increased additional agreement specifically.</t>
  </si>
  <si>
    <t>Combined property, crime and liability the package premium must not be less than $550.  Liability has a separate subtotal minimum premium.  If combined less than the minimum, then the deficit is made up in an increased property premium.</t>
  </si>
  <si>
    <t>Only permitted for Veterinarian Professional</t>
  </si>
  <si>
    <t>Maximum limit is $100,000 (per animal).  Rate is $65.25/employee (any employees not qualified for veterinary work charge 6.54)</t>
  </si>
  <si>
    <t>$75/employee (office employees)</t>
  </si>
  <si>
    <t>Property (building and/or contents coverage)</t>
  </si>
  <si>
    <t>Flood Instructions:</t>
  </si>
  <si>
    <t>Zone</t>
  </si>
  <si>
    <t>Deductible</t>
  </si>
  <si>
    <t>Low1</t>
  </si>
  <si>
    <t>Low2</t>
  </si>
  <si>
    <t>Medium1</t>
  </si>
  <si>
    <t>Medium2</t>
  </si>
  <si>
    <t>Medium3</t>
  </si>
  <si>
    <t>Medium4</t>
  </si>
  <si>
    <t>High1</t>
  </si>
  <si>
    <t>High2</t>
  </si>
  <si>
    <t>High3</t>
  </si>
  <si>
    <t>$25000/$50,000</t>
  </si>
  <si>
    <t>Not Available</t>
  </si>
  <si>
    <t>Flood Instructions</t>
  </si>
  <si>
    <t>Flood
Low zones
Click Link for Flood Instructions</t>
  </si>
  <si>
    <t>Church</t>
  </si>
  <si>
    <t>Church Package - Qualification</t>
  </si>
  <si>
    <t>Occupied as a Church - Churches, Synagogues, Temples</t>
  </si>
  <si>
    <t>No cooking - occasional church supper acceptable</t>
  </si>
  <si>
    <t>Church Package - Unacceptable</t>
  </si>
  <si>
    <t>Not occupied as a Church</t>
  </si>
  <si>
    <t>Childcare centre and/or fee for service</t>
  </si>
  <si>
    <t>Childcare acceptable provided No childcare centre and/or no fee for service childcare</t>
  </si>
  <si>
    <t>Professional and/or counseling services acceptable provided No fee for service</t>
  </si>
  <si>
    <t xml:space="preserve"> Any outdoor recreational facilities - Refer to Underwriting</t>
  </si>
  <si>
    <t>Professional and/or counseling services on a fee for service basis</t>
  </si>
  <si>
    <t>No cooking (occasional church supper acceptable)</t>
  </si>
  <si>
    <t>NO parish nurses whether or not salaried or volunteer</t>
  </si>
  <si>
    <t>Built in last 30 years (deduct from year built field)</t>
  </si>
  <si>
    <t>HERP updated in last 10 years (if age of building is &gt;=30 years)</t>
  </si>
  <si>
    <t>Discount
Electrical Circuit Breakers</t>
  </si>
  <si>
    <t>N/a</t>
  </si>
  <si>
    <t>Church - Other Building and Content Rates</t>
  </si>
  <si>
    <t>Concrete Cemetery Vaults 0.25/100</t>
  </si>
  <si>
    <t>Storage Buildings 0.75/100</t>
  </si>
  <si>
    <t>Church Package Concrete Cemetery Vaults/Storage Buildings</t>
  </si>
  <si>
    <t>Manse (rented dwelling)
Dwelling/Contents Rates</t>
  </si>
  <si>
    <t>0.15/0.20</t>
  </si>
  <si>
    <t>0.20/0.30</t>
  </si>
  <si>
    <t>0.25/0.35</t>
  </si>
  <si>
    <t>0.20/0.25</t>
  </si>
  <si>
    <t>0.30/0.40</t>
  </si>
  <si>
    <t>0.25/0.30</t>
  </si>
  <si>
    <t>0.35/0.45</t>
  </si>
  <si>
    <t>Incl</t>
  </si>
  <si>
    <t>Comprehensive 3D $10,000</t>
  </si>
  <si>
    <t>Add'l Agreements increase by $25,000</t>
  </si>
  <si>
    <t>Combined property, crime and liability the package premium must not be less than $500.  Liability has a separate subtotal minimum premium.  If combined less than the minimum, then the deficit is made up in an increased property premium.</t>
  </si>
  <si>
    <r>
      <t xml:space="preserve">If </t>
    </r>
    <r>
      <rPr>
        <b/>
        <sz val="11"/>
        <color theme="1"/>
        <rFont val="Calibri"/>
        <family val="2"/>
        <scheme val="minor"/>
      </rPr>
      <t>$1M liability</t>
    </r>
    <r>
      <rPr>
        <sz val="11"/>
        <color theme="1"/>
        <rFont val="Calibri"/>
        <family val="2"/>
        <scheme val="minor"/>
      </rPr>
      <t>, and property is less than $275, property premium must be increased to min. $275</t>
    </r>
  </si>
  <si>
    <r>
      <t xml:space="preserve">If </t>
    </r>
    <r>
      <rPr>
        <b/>
        <sz val="11"/>
        <color theme="1"/>
        <rFont val="Calibri"/>
        <family val="2"/>
        <scheme val="minor"/>
      </rPr>
      <t>$2M liability</t>
    </r>
    <r>
      <rPr>
        <sz val="11"/>
        <color theme="1"/>
        <rFont val="Calibri"/>
        <family val="2"/>
        <scheme val="minor"/>
      </rPr>
      <t>, and property is less than $325, property premium must be increased to min. $325</t>
    </r>
  </si>
  <si>
    <t>Cemetery (Max 2 acres)</t>
  </si>
  <si>
    <t>Church Owned Dwellings</t>
  </si>
  <si>
    <t>(Voluntary Compensation) $50</t>
  </si>
  <si>
    <t>$1M $20/$2M $24</t>
  </si>
  <si>
    <t>$1M $10/$2M $12</t>
  </si>
  <si>
    <t>$1M $50/minister one congregation. $2M $75/minister one congregation</t>
  </si>
  <si>
    <t>Crime coverage (money and securities included)</t>
  </si>
  <si>
    <t>Employers Liability $75/employee (office employees)</t>
  </si>
  <si>
    <t>Non-Profit D&amp;O</t>
  </si>
  <si>
    <t>Manual - requires underwriting intervention</t>
  </si>
  <si>
    <t xml:space="preserve">Indicator to identify BVS completed and attachment of same </t>
  </si>
  <si>
    <t>Inspection required</t>
  </si>
  <si>
    <t>Photographs must be submitted with application</t>
  </si>
  <si>
    <t xml:space="preserve">Additional Agreements is CP1.  To calculate minimum liability premium, this coverage automatically defaults with a premium of $20 (regardless of liability limit) </t>
  </si>
  <si>
    <t xml:space="preserve">Money and Securities To calculate minimum liability premium, this coverage automatically defaults with a premium of $10 (regardless of liability limit) </t>
  </si>
  <si>
    <t>Contractors</t>
  </si>
  <si>
    <t>Code</t>
  </si>
  <si>
    <t>Minimum Liability Premium
$1M</t>
  </si>
  <si>
    <t>Minimum Liability Premium
$2M</t>
  </si>
  <si>
    <t>Rate @ $1M</t>
  </si>
  <si>
    <t>Rate @ $2M</t>
  </si>
  <si>
    <t>Air Conditioning **</t>
  </si>
  <si>
    <t xml:space="preserve">Aluminum/Vinyl Siding &amp; Eavestroughing, Doors, Windows </t>
  </si>
  <si>
    <t>Brick and Block laying (Masonry)</t>
  </si>
  <si>
    <t>Building Alteration/Renovation (incidental roofing only)</t>
  </si>
  <si>
    <t>Carpentry – Finish Carpentry</t>
  </si>
  <si>
    <t>Carpentry – Framing</t>
  </si>
  <si>
    <t>Carpet, tile &amp; Floor Covering</t>
  </si>
  <si>
    <t>Concrete Construction**  (Excluding sewers, tunnels, dams, bridges &amp; piers)</t>
  </si>
  <si>
    <t>Drywall &amp; Plastering</t>
  </si>
  <si>
    <t>Electrical Wiring ** (Excluding alarm system installation)</t>
  </si>
  <si>
    <t>Fence Construction</t>
  </si>
  <si>
    <t>Glazier (excluding auto glass)</t>
  </si>
  <si>
    <t>Heating (Oil and Gas)</t>
  </si>
  <si>
    <t>Household appliance repair</t>
  </si>
  <si>
    <t>Insulation of buildings*</t>
  </si>
  <si>
    <t>Interior decorating</t>
  </si>
  <si>
    <t>Janitorial *</t>
  </si>
  <si>
    <t>Landscape gardening (refer if any tree removal, snow removal or incidental pesticide application.)</t>
  </si>
  <si>
    <t>Painting and wallpapering **</t>
  </si>
  <si>
    <t>Plumbing**</t>
  </si>
  <si>
    <t xml:space="preserve">Roofing** – Residential Asphalt Shingled only (Heat applied and hot tar applications excluded) </t>
  </si>
  <si>
    <t>Septic tank installation *</t>
  </si>
  <si>
    <t>Sheet metal **</t>
  </si>
  <si>
    <t>Swimming pools and hot tub installation</t>
  </si>
  <si>
    <t>Sub contractors (Insured and Certificate obtained)</t>
  </si>
  <si>
    <t>Operation Classification
Classification with ** subject to $1,000 property damage deductible</t>
  </si>
  <si>
    <r>
      <t xml:space="preserve">Operation Classification
</t>
    </r>
    <r>
      <rPr>
        <b/>
        <i/>
        <sz val="11"/>
        <color theme="1"/>
        <rFont val="Calibri"/>
        <family val="2"/>
        <scheme val="minor"/>
      </rPr>
      <t xml:space="preserve">Biggest challenge with contractors is the ability to select more than one occupancy type.  User would then complete annual receipts for each individual occupancy type.  Rates would then be calculated for each type individually.  
Each operation classification must print on the declaration page.
</t>
    </r>
  </si>
  <si>
    <t xml:space="preserve">Contractors identified by * are subject to $1,000 property damage deductible; All other classes are subject to the standard $500 property damage deductible.
Contractors identified by ** are limited to not more than 20% of total receipts derived from work at commercial premises and subject to a $1,000 property damage deductible. 
Minimum liability section premiums apply:
</t>
  </si>
  <si>
    <t>MINIMUM $575</t>
  </si>
  <si>
    <t>MINIMUM $625</t>
  </si>
  <si>
    <t>OperationClassifications!A1</t>
  </si>
  <si>
    <t xml:space="preserve">Rate per hundred for - Building </t>
  </si>
  <si>
    <t>Rate per hundred for - contents</t>
  </si>
  <si>
    <t>Heat - Subject to Surcharge</t>
  </si>
  <si>
    <t>Wood Heat Load building and contents rate by 0.50 
(Underwriting approval required)</t>
  </si>
  <si>
    <t xml:space="preserve"> If woodworking in building, 100% surcharge (questions should involve acceptable dust collection)</t>
  </si>
  <si>
    <t>Loss to third party extension 3D coverage $2,500</t>
  </si>
  <si>
    <t>Loss to third party extension 3D coverage $5,000</t>
  </si>
  <si>
    <t>Hand Tools and equipment floater  (subject to $100 minimum premium)</t>
  </si>
  <si>
    <t>Rule required for minimum premium</t>
  </si>
  <si>
    <t>Rule required for maximum $50,000 limit - underwriter must approve for higher limits</t>
  </si>
  <si>
    <t>No-co Rate  $5/100</t>
  </si>
  <si>
    <t>80% co rate $3.60/$100</t>
  </si>
  <si>
    <t xml:space="preserve">Contractors Scheduled Equipment.  </t>
  </si>
  <si>
    <t>Schedule Required</t>
  </si>
  <si>
    <t>Rule required for Maximum $50 any one item</t>
  </si>
  <si>
    <t>Rule required for maximum $250,000 entire schedule - u/w to review.</t>
  </si>
  <si>
    <t>80% co rate 0.90/100</t>
  </si>
  <si>
    <t>Installation Floater</t>
  </si>
  <si>
    <t>Builders Risk</t>
  </si>
  <si>
    <t>Indicator to refer to underwriting</t>
  </si>
  <si>
    <t xml:space="preserve">Builders Risk is not part of the package policy.  It may be added as a building to the policy, but does not form part of the package.  </t>
  </si>
  <si>
    <t>Incl.</t>
  </si>
  <si>
    <t>One optional coverage must be added)</t>
  </si>
  <si>
    <r>
      <t xml:space="preserve">If </t>
    </r>
    <r>
      <rPr>
        <b/>
        <sz val="11"/>
        <color theme="1"/>
        <rFont val="Calibri"/>
        <family val="2"/>
        <scheme val="minor"/>
      </rPr>
      <t>$2M liability</t>
    </r>
    <r>
      <rPr>
        <sz val="11"/>
        <color theme="1"/>
        <rFont val="Calibri"/>
        <family val="2"/>
        <scheme val="minor"/>
      </rPr>
      <t>, and property is less than $100, property premium must be increased to min. $100</t>
    </r>
  </si>
  <si>
    <r>
      <t xml:space="preserve">If </t>
    </r>
    <r>
      <rPr>
        <b/>
        <sz val="11"/>
        <color theme="1"/>
        <rFont val="Calibri"/>
        <family val="2"/>
        <scheme val="minor"/>
      </rPr>
      <t>$1M liability</t>
    </r>
    <r>
      <rPr>
        <sz val="11"/>
        <color theme="1"/>
        <rFont val="Calibri"/>
        <family val="2"/>
        <scheme val="minor"/>
      </rPr>
      <t>, and property is less than , property premium must be increased to min. $150</t>
    </r>
  </si>
  <si>
    <t>Combined Optional Coverage and liability the package premium must not be less than $725.  Liability has a separate subtotal minimum premium.  If combined less than the minimum, then the deficit is made up in an increased property premium.</t>
  </si>
  <si>
    <t>$50 premium is placed within the AdditionalAgreementsCP2</t>
  </si>
  <si>
    <t>Grade 1A:</t>
  </si>
  <si>
    <t>Grade 1:</t>
  </si>
  <si>
    <t>Grade 2:</t>
  </si>
  <si>
    <t>Grade 3:</t>
  </si>
  <si>
    <t>0.75 to 0.90 (u/w descretion)</t>
  </si>
  <si>
    <t xml:space="preserve">Deductible </t>
  </si>
  <si>
    <t>Deductible Discount</t>
  </si>
  <si>
    <t>Minimum Retained Premium</t>
  </si>
  <si>
    <t>50% of annual premium (including calculated discounts)</t>
  </si>
  <si>
    <t>Rules - See Rules Spreadsheet for additional rules.  Check with Louise to see if the rules are even justified given the number of risks.</t>
  </si>
  <si>
    <t>Contractors Gold</t>
  </si>
  <si>
    <t>Office/Business Contents Included</t>
  </si>
  <si>
    <t>$5,000 limit Included</t>
  </si>
  <si>
    <t>$20,000 Included</t>
  </si>
  <si>
    <t>Extended Loss of Income
Indicator will be required to reflect applicable Limit included.  Additional amount is subject to building rate.</t>
  </si>
  <si>
    <t>Limit included is $10,000</t>
  </si>
  <si>
    <t>Not applicable</t>
  </si>
  <si>
    <t>$2,500 Included.</t>
  </si>
  <si>
    <t>$5,000 Limit of Coverage Included.</t>
  </si>
  <si>
    <t>$25,000 Blanket Limit of Coverage Included</t>
  </si>
  <si>
    <t>Included.</t>
  </si>
  <si>
    <t>$10,000 - any single location, $5,000 - in transit, $50,000 - aggregate all locations</t>
  </si>
  <si>
    <t>Combined Optional Coverage and liability the package premium must not be less than $1,000.  Liability has a separate subtotal minimum premium.  If combined less than the minimum, then the deficit is made up in an increased property premium.</t>
  </si>
  <si>
    <t>BusinessContentsonPremises defaults with $20,000 limit and premium of $15.</t>
  </si>
  <si>
    <t>ExtendedLossofIncome defaults with $20,000 Limit and Premium of $10</t>
  </si>
  <si>
    <t>AdditionalAgreementsCP2 defaults with a limit of $10,000 and premium of $50</t>
  </si>
  <si>
    <t>58001HandToolsNoCoInsPkg defaults with a limit of $5,000 and a premium of $100</t>
  </si>
  <si>
    <t>43500ADOptiona12500 Defaults with a limit of $2,500 and a premium of $50</t>
  </si>
  <si>
    <t>ContractorsEquipFloater defaults with a limit of $25,000 and a premium of $100</t>
  </si>
  <si>
    <t>58002InstallationFitPkg defaults with a limit of $100 and premium of $50</t>
  </si>
  <si>
    <t>Default Premium $15</t>
  </si>
  <si>
    <t>Limt included is $20,000
Default premium at $10</t>
  </si>
  <si>
    <t>Default Premium of $50</t>
  </si>
  <si>
    <t>Default Premium of $100</t>
  </si>
  <si>
    <t>Minimum Retained Premium of $350 (must print on declaration page and calculate in the event of cancellation)</t>
  </si>
  <si>
    <t>Realty</t>
  </si>
  <si>
    <t>Office Occupancy: 0.14
Retail Occupancy: 0.16</t>
  </si>
  <si>
    <t>Office Occupancy: 0.17
Retail Occupancy: 0.20</t>
  </si>
  <si>
    <t>Office Occupancy: 0.23
Retail Occupancy: 0.40</t>
  </si>
  <si>
    <t>Office Occupancy: 0.28
Retail Occupancy: 0.70</t>
  </si>
  <si>
    <t>Office Occupancy: 0.24
Retail Occupancy: 0.32</t>
  </si>
  <si>
    <t>Office Occupancy: 0.28
Retail Occupancy: 0.50</t>
  </si>
  <si>
    <t>Office Occupancy: 0.35
Retail Occupancy: 1.40</t>
  </si>
  <si>
    <t>Office Occupancy: 0.19
Retail Occupancy: 0.25</t>
  </si>
  <si>
    <t>Office Occupancy: 0.25
Retail Occupancy: 0.33</t>
  </si>
  <si>
    <t>A lookup is required to determine the applicable rate based upon the occupancy of the risk.  If both office and retail, the retail occupancy will be selected.</t>
  </si>
  <si>
    <t>Building must be less than 10 stories</t>
  </si>
  <si>
    <t>No industrial, manufacturing or processing operations in the building</t>
  </si>
  <si>
    <t>No bars, taverns, restaurants, or places of amusement</t>
  </si>
  <si>
    <t>No resorts or seasonal properties</t>
  </si>
  <si>
    <t>75% of building rate</t>
  </si>
  <si>
    <t>100% of building rate</t>
  </si>
  <si>
    <r>
      <t xml:space="preserve">If </t>
    </r>
    <r>
      <rPr>
        <b/>
        <sz val="11"/>
        <color theme="1"/>
        <rFont val="Calibri"/>
        <family val="2"/>
        <scheme val="minor"/>
      </rPr>
      <t>$1M liability</t>
    </r>
    <r>
      <rPr>
        <sz val="11"/>
        <color theme="1"/>
        <rFont val="Calibri"/>
        <family val="2"/>
        <scheme val="minor"/>
      </rPr>
      <t>, and property is less than $275, property premium must be increased to min. $425</t>
    </r>
  </si>
  <si>
    <r>
      <t xml:space="preserve">If </t>
    </r>
    <r>
      <rPr>
        <b/>
        <sz val="11"/>
        <color theme="1"/>
        <rFont val="Calibri"/>
        <family val="2"/>
        <scheme val="minor"/>
      </rPr>
      <t>$2M liability</t>
    </r>
    <r>
      <rPr>
        <sz val="11"/>
        <color theme="1"/>
        <rFont val="Calibri"/>
        <family val="2"/>
        <scheme val="minor"/>
      </rPr>
      <t>, and property is less than $375, property premium must be increased to min. $375</t>
    </r>
  </si>
  <si>
    <t>Premium is dependent upon the retail/office operation</t>
  </si>
  <si>
    <t>Home Based Business</t>
  </si>
  <si>
    <t>Package Identifier</t>
  </si>
  <si>
    <t>Contents Default</t>
  </si>
  <si>
    <t>Loss of Income Default</t>
  </si>
  <si>
    <t>Broad Form Money &amp; Securities Default</t>
  </si>
  <si>
    <t>CGL Default</t>
  </si>
  <si>
    <t>Minimum Package Premium</t>
  </si>
  <si>
    <t>A</t>
  </si>
  <si>
    <t>2, 3 and unprotected</t>
  </si>
  <si>
    <t>Malpractice Liability</t>
  </si>
  <si>
    <t>Optional Coverage</t>
  </si>
  <si>
    <t>B</t>
  </si>
  <si>
    <t>C</t>
  </si>
  <si>
    <t>Comments</t>
  </si>
  <si>
    <t>Underwriting Intervention required</t>
  </si>
  <si>
    <t>$75/operator</t>
  </si>
  <si>
    <t>$100/operator</t>
  </si>
  <si>
    <t>Add/l agreements Default</t>
  </si>
  <si>
    <t>Extended Loss of Income Defaults with $10</t>
  </si>
  <si>
    <t>AdditionalAgreementsBP1 defaults with $10</t>
  </si>
  <si>
    <t>43206MoneySecurities default with $15</t>
  </si>
  <si>
    <t>Contents Default Premium</t>
  </si>
  <si>
    <t xml:space="preserve">Farm Mutual Re's Rating </t>
  </si>
  <si>
    <t>Driveway, parking Area Construction including Sealing *</t>
  </si>
  <si>
    <t>R</t>
  </si>
  <si>
    <t>Irrigation, Drainage System Construction *</t>
  </si>
  <si>
    <t>Grading of Land not Excavation or Road Construction *</t>
  </si>
  <si>
    <t>Cleaning Sewers &amp; Draings</t>
  </si>
  <si>
    <t>Sign Installation</t>
  </si>
  <si>
    <t>Antennae Installation (Television, Parabolic)</t>
  </si>
  <si>
    <t xml:space="preserve">Boiler Insatllation - Residential only (incidental to Heating Contractor) </t>
  </si>
  <si>
    <t>Green Energy Contractors - Solar</t>
  </si>
  <si>
    <t>Green Energy Contractors - Geo Thermal (incidental operations)</t>
  </si>
  <si>
    <t>Water Softener Service &amp; Installation</t>
  </si>
  <si>
    <t>Terrazzo &amp; Tilework 9no masonry, sewers, draings, ceiling work)</t>
  </si>
  <si>
    <t>Drilling - Water wells only excluding artisian wells</t>
  </si>
  <si>
    <t>0735</t>
  </si>
  <si>
    <t>Excavation, Excluding Tunnel &amp; Subway Work - Incidental</t>
  </si>
  <si>
    <t>Discount Title</t>
  </si>
  <si>
    <t>Discount Amount</t>
  </si>
  <si>
    <t>Applicable Field</t>
  </si>
  <si>
    <t>Additive rating rule</t>
  </si>
  <si>
    <t>GWPC - Commercial - Submission/Policy Change - BOP- Building/Building Occupancy/Is the building owner occupied?</t>
  </si>
  <si>
    <t xml:space="preserve">If "yes" discount is applicable.  </t>
  </si>
  <si>
    <t>Discount Sprinkler System</t>
  </si>
  <si>
    <t>GWPC - Commercial - Submission/Policy Change - BOP- Building/Construction Details/ Is the building detached by 40ft or more?</t>
  </si>
  <si>
    <t>GWPC - Commercial - Submission/Policy Change - BOP- Building/Construction Details/% sprinklered</t>
  </si>
  <si>
    <t>GWPC - Commercial - Submission/Policy Change - BOP- Building/Construction Details/Do you have concrete floors at ground level or no basements?</t>
  </si>
  <si>
    <t>Commercial Package</t>
  </si>
  <si>
    <t>varies based upon rule</t>
  </si>
  <si>
    <t>Risk analysis/internal claims</t>
  </si>
  <si>
    <t>if any {internal} claim with loss date within 3 years from policy effective date, or 
if any prior policies with  claim with loss date within 3 years from policy effective date, or 
if any prior policies with expiry date date greater than 3 years from policy effective date,</t>
  </si>
  <si>
    <t>Additive Discount Rule</t>
  </si>
  <si>
    <t>Type of Discount</t>
  </si>
  <si>
    <t>Additive</t>
  </si>
  <si>
    <t>Multiplicative</t>
  </si>
  <si>
    <t>CMIG - Broker/Agent Distribution Staff</t>
  </si>
  <si>
    <t>Head Office Staff</t>
  </si>
  <si>
    <t>Policy Info/Head Office Staff</t>
  </si>
  <si>
    <t>GWPC - Commerical - Businessowners - Consolidated Coverage/Endorsement (Product Model)/
  Commercial Building/Deductible
  Commercial Contents/Deductible
   Income Expense/Deductible</t>
  </si>
  <si>
    <t>Discount Rule</t>
  </si>
  <si>
    <t>Multiplicative Rule</t>
  </si>
  <si>
    <t xml:space="preserve">If deductible is equal to $1,000, discount is 0.05,
 if deductible is equal to $2,500, discount is 0.12,
If deductible is equal to $500, no discount applicable.
($5,000, $10,000 &amp; $25,000 discounts to follow)
</t>
  </si>
  <si>
    <t>Discount detached, discount concrete, discount owner occupied, discount sprinkler system, discount claims free are additive discounts to an overall maximum of 25%.  
If total of all discounts is less then 0.25, then this is the additive discount, 
If total of all discounts is greater than 0.25, then the maximum additive discount is 0.25.
Rating Rule:  
 Commercial Building Rate x additive discount is rate.  
 Commercial Contents Rate x additive discount is rate. 
 Loss of Income Rate x additvie discount is rate. 
No other coverages are discounted by the additive discounts.</t>
  </si>
  <si>
    <t xml:space="preserve">Rating Rule:  
 Commercial Building Rate (after additive discounts are applied) times the applicable deductible discount x limit of coverage
 Commercial Contents Rate (after additive discounts are applied) times the applicable deductible discount x limit of coverage
 Loss of Income Rate (after additive discounts are applied) times the applicable deductible discount x limit of coverage
</t>
  </si>
  <si>
    <t>if =100, 0.20 discount applies
if &gt;0.74 and &lt;100, 0.15 discount applies, 
if &gt;0.49 and &lt;0.75 then  0.10 discount applies,
if &gt; 0.24 and &lt;0.50, then 0.05 discount applies, 
If else no discount.</t>
  </si>
  <si>
    <t>Discount Circuit Breakers</t>
  </si>
  <si>
    <t>GWPC - Commercial - Submission/Policy Change - BOP- Building/Construction/Panel(Electrical)=Breakers</t>
  </si>
  <si>
    <t>Commercial Building Owners Realty Package</t>
  </si>
  <si>
    <t>Discount detached, discount concrete, discount owner occupied, discount sprinkler system, discount claims free are additive discounts to an overall maximum of 20%.  
If total of all discounts is less then 0.20, then this is the additive discount, 
If total of all discounts is greater than 0.20, then the maximum additive discount is 0.20.
Rating Rule:  
 Commercial Building Rate x additive discount is rate.  
 Commercial Contents Rate x additive discount is rate. 
 Loss of Income Rate x additvie discount is rate. 
No other coverages are discounted by the additive discounts.</t>
  </si>
  <si>
    <t xml:space="preserve">If deductible is equal to $2,500, discount is 0.07,
 if deductible is equal to $5,000, discount is 0.14,
If deductible is equal to $1,000, no discount applicable.
($10,000 &amp; $25,000 discounts to follow)
</t>
  </si>
  <si>
    <t>Surcharge - applies to base rate Before Any Discounts are applied.</t>
  </si>
  <si>
    <t>All Packages</t>
  </si>
  <si>
    <t xml:space="preserve">If Broker/Agent Distribution Staff button is indicated, the discount is applied.  Discount is 0.10 only applicable to the commercial building, commercial contents and commercial loss of income.  </t>
  </si>
  <si>
    <t xml:space="preserve">If Broker/Agent Distribution Staff button is indicated, the discount is applied.  Discount is 0.20 only applicable to the commercial building, commercial contents and commercial loss of income.  </t>
  </si>
  <si>
    <t>Contractors
contractors Gold
Retail
Office
Apartment
Commercial Building Owners Realty Package
Home Based Business A, B, C
Church</t>
  </si>
  <si>
    <t xml:space="preserve">Contractors
Contractors Gold
Based upon the applicable SIC code.
</t>
  </si>
  <si>
    <t xml:space="preserve">1.  100% loading
</t>
  </si>
  <si>
    <t>2.  0.50 loading</t>
  </si>
  <si>
    <t xml:space="preserve">1.  Wood working in Building - this charge is 100% loading on base building rate
</t>
  </si>
  <si>
    <t xml:space="preserve">
2.  Wood Heat - this is a loading on the base building rate</t>
  </si>
  <si>
    <t>SIC codes applicable in the cells below:
1511</t>
  </si>
  <si>
    <t>SIC Code: 
1751</t>
  </si>
  <si>
    <t xml:space="preserve">Contractors
Contractors Gold
Based upon the applicable SIC code.
</t>
  </si>
  <si>
    <t>https://cmigjira.atlassian.net/wiki/spaces/PHOEN/pages/107643423/GWPC+-+Commercial+-+Discounts+and+Surcharges</t>
  </si>
  <si>
    <t xml:space="preserve">For Commercial Additive Discounts please see Confluence Page: </t>
  </si>
  <si>
    <t>For Multiplicative Discounts/Surcharges - See Confluence Page:</t>
  </si>
  <si>
    <t>Apartment Package</t>
  </si>
  <si>
    <t>Commercial Building</t>
  </si>
  <si>
    <t>Commercial Contents</t>
  </si>
  <si>
    <t>Office Package</t>
  </si>
  <si>
    <t>BOPBuildingCov</t>
  </si>
  <si>
    <t>Commercial - Equipment Breakdown</t>
  </si>
  <si>
    <t>Form Title</t>
  </si>
  <si>
    <t>Coverage Code</t>
  </si>
  <si>
    <t>BOPMechBreakdownCov</t>
  </si>
  <si>
    <t>Equipment Breakdown Additive Discounts</t>
  </si>
  <si>
    <t>Deductible Amount</t>
  </si>
  <si>
    <t>Factor</t>
  </si>
  <si>
    <t xml:space="preserve"> Round( (Limit/100), 
Tiered Rating as follows:
Limit from $0 to $1,000,000 x 0.0397 x deductible factor, plus
Limit from $1,000,001 to $2,500,000 x 0.01999 x deductible factor, plus
Limit from $2,500,001 to $6,000,000 x 0.008 x deductible factor,
If calculated premium is less than $40, charge $40, 
Else
Calculated Rate</t>
  </si>
  <si>
    <t>Algorithm</t>
  </si>
  <si>
    <t>Income/Expense</t>
  </si>
  <si>
    <t>Rental Income</t>
  </si>
  <si>
    <t>BOPRentalIncomeCov_IC</t>
  </si>
  <si>
    <t>Home Based Business A</t>
  </si>
  <si>
    <t>Home Based Business B</t>
  </si>
  <si>
    <t>Home Based Business C</t>
  </si>
  <si>
    <t>Crime</t>
  </si>
  <si>
    <t>Commercial - Crime Section Divider</t>
  </si>
  <si>
    <t>BOPCrimeSecDivider_IC</t>
  </si>
  <si>
    <t>Does not rate</t>
  </si>
  <si>
    <t>Commercial - In &amp; Out Robbery</t>
  </si>
  <si>
    <t>BOPBurgRobCov_IC</t>
  </si>
  <si>
    <t>Commercial - Mercantile Stock Burglary</t>
  </si>
  <si>
    <t>BOPMercStocBurg_IC</t>
  </si>
  <si>
    <t>Commercial - Broad Form Money &amp; Securities</t>
  </si>
  <si>
    <t>BOPMoneySecCov_IC</t>
  </si>
  <si>
    <t>Comprehensive 3D Crime</t>
  </si>
  <si>
    <t>BOPComp3DCrime_IC</t>
  </si>
  <si>
    <t>Comprehensive 3D Loss to Third Party Extension</t>
  </si>
  <si>
    <t>BOPComp3DLoss_IC</t>
  </si>
  <si>
    <t>Commercial - Exhibition Floater</t>
  </si>
  <si>
    <t>BOPExhibitionFloaterCov_IC</t>
  </si>
  <si>
    <t xml:space="preserve">Commercial - Sign Floater </t>
  </si>
  <si>
    <t>BOPSignFloaterCov_IC</t>
  </si>
  <si>
    <t>Tool Floater</t>
  </si>
  <si>
    <t>BOPToolFloaterCov_IC</t>
  </si>
  <si>
    <t xml:space="preserve">Fine Arts Floater </t>
  </si>
  <si>
    <t>BOPFineArtsFloaterCov_IC</t>
  </si>
  <si>
    <t>Dog &amp; Cat Floater</t>
  </si>
  <si>
    <t>BOPDogCatFloaterCov_IC</t>
  </si>
  <si>
    <t>BOPInstallationFloaterCov_IC</t>
  </si>
  <si>
    <t>Unmanned Air Vehicle Systems Property Floater</t>
  </si>
  <si>
    <t>BOPUAVSystemsPropertyFloaterCov_I</t>
  </si>
  <si>
    <t>Contractors Equipment Floater</t>
  </si>
  <si>
    <t>BOPContractorsEquipmentFloater_IC</t>
  </si>
  <si>
    <t>Contractor's Equipment Floater (Scheduled)</t>
  </si>
  <si>
    <t>BOPContractorsEquipmentFloaterSchCov_IC</t>
  </si>
  <si>
    <t>Contractor's Equipment Floater (Blanket)</t>
  </si>
  <si>
    <t>BOPContractorsEquipmentFloaterBlanketCov_IC</t>
  </si>
  <si>
    <t>Motor Truck Cargo (Truckmen's)</t>
  </si>
  <si>
    <t>BOPMotorTruckCargoTruckMensCov_IC</t>
  </si>
  <si>
    <t>Motor Truck Cargo (Owner's)</t>
  </si>
  <si>
    <t>BOPMotorTruckCargoOwnersCov_IC</t>
  </si>
  <si>
    <t>Commercial - Miscellaneous Property Coverage - Floater</t>
  </si>
  <si>
    <t>BOPMiscPropertyCoverageFloaterCov_IC</t>
  </si>
  <si>
    <t>Transportation Floater</t>
  </si>
  <si>
    <t>BOPTransportationFloaterCov_IC</t>
  </si>
  <si>
    <t>Commercial Boat, Motor &amp; Trailer</t>
  </si>
  <si>
    <t>BOPCommercialBMTACov_IC</t>
  </si>
  <si>
    <t>Commercial - Electronic Equipment</t>
  </si>
  <si>
    <t>BOPElectronicEquipmentCov_IC</t>
  </si>
  <si>
    <t>Scheduled Portable Computer Equipment</t>
  </si>
  <si>
    <t>BOPSchedPortableCompEquipCov_IC</t>
  </si>
  <si>
    <t>Min. premium of $50</t>
  </si>
  <si>
    <t>see sheet to side</t>
  </si>
  <si>
    <t>Gross Earnings</t>
  </si>
  <si>
    <t>BOPGrossEarningsCov_IC</t>
  </si>
  <si>
    <t>BOPExtraExpenseCov_IC</t>
  </si>
  <si>
    <t>BOPExtendedLossOfIncomeCov_IC</t>
  </si>
  <si>
    <t>Ordinary Payroll Expense</t>
  </si>
  <si>
    <t>BOPBusIncPayrollCov</t>
  </si>
  <si>
    <t>BOPActualLossSustainedCov_IC</t>
  </si>
  <si>
    <t>Gross Rents</t>
  </si>
  <si>
    <t>BOPGrossRentsCov_IC</t>
  </si>
  <si>
    <t>Earnings Insurance - Renewable Energy</t>
  </si>
  <si>
    <t>BOPEarningsInsuranceRenewableEnergyCov_IC</t>
  </si>
  <si>
    <t>If $25,000 limit option is selected = $25
If $50,000 limit option is selected = $50
If $100,000 limit option is selected =$100</t>
  </si>
  <si>
    <t xml:space="preserve">If limit =$1,000 and if Bundle = Retail or Office or Apartment or Commercial Realty Building Owners then it does not rate, all other bundles charge flat $25
If limit =$2,500, then flat $50
If limit = $5,000, then flat $75
</t>
  </si>
  <si>
    <t>If limit =$2,500, then flat $50</t>
  </si>
  <si>
    <t>If limit = $5,000, then flat $75</t>
  </si>
  <si>
    <t>If limit = $10,000, then flat $100</t>
  </si>
  <si>
    <t>If limit = $1,000 and if Bundle = Church or  Any Home Based Package then premium is included.
If limit = $1,000 and Bundle = Office, Apartment or Commercial Building Owners Realty, then flat $25.
If limit =$1,0000 and Bundle = Retail Store, Contractor's , or Non Package then flat $50</t>
  </si>
  <si>
    <t>If limit = $2,500  and if Bundle = Office, Apartment, any Homed Based, Commercial Building Owners Realty or Church, then flat $50
If limit = $2,500 and if Bundle = Retail Store, Contractors, or Non Package, then flat $75</t>
  </si>
  <si>
    <t>If limit = $5,000 and if Bundle = Office, Apartment any Home Based, Commercial Building Owners Realty or Church, then flat $75
If limit = $5,000 and if Bundle = Retail Store, Contractors, or Non Package, then flat $100</t>
  </si>
  <si>
    <t>If limit = $10,000 and if Bundle = Office, Apartment any Home Based, Commercial Building Owners Realty or Church, then flat $100
If limit =$10,000 and if Bundle = Retail Store, Contractor's or Non Package, then flat $125</t>
  </si>
  <si>
    <t>Bundle Type</t>
  </si>
  <si>
    <t>BOPBusinessProtectorBP1_IC</t>
  </si>
  <si>
    <t>If limit = $5,000, premium is included</t>
  </si>
  <si>
    <t>if limit = $10,000 and Bundle = Retail, Office, Apartment or Commercial Building Realty then premium is included</t>
  </si>
  <si>
    <t>If limit = $15,000, then flat $50</t>
  </si>
  <si>
    <t>If limit = $30,000, then flat $100</t>
  </si>
  <si>
    <t>If limit = $50,000, then flat $125</t>
  </si>
  <si>
    <t>Business Protector - BP1</t>
  </si>
  <si>
    <t>Church Protector - CP1</t>
  </si>
  <si>
    <t>BOPChurgeProtectorCP1Coc_IC</t>
  </si>
  <si>
    <t>If limit = $10,000, then premium is included</t>
  </si>
  <si>
    <t>Contractor's Protector - CP2</t>
  </si>
  <si>
    <t>BOPContractorsProtectorCP2COV_IC</t>
  </si>
  <si>
    <t>Commercial- Business Plus Extension of Coverage</t>
  </si>
  <si>
    <t>BOPBusinessPlusExtofCov_IC</t>
  </si>
  <si>
    <t>If limit= $5,000, then flat $50</t>
  </si>
  <si>
    <t>If limit = $10,000, then flat $75</t>
  </si>
  <si>
    <t>If limit = $25,000, then flat $100</t>
  </si>
  <si>
    <t>If limit = $50,000, then flat $150</t>
  </si>
  <si>
    <t>If limit = $30,000, then flat $125</t>
  </si>
  <si>
    <t xml:space="preserve">Occupancy Class 1: .54
Occupancy Class 2: .66
Occupancy Class 3: .84 </t>
  </si>
  <si>
    <t xml:space="preserve">Occupancy Class 1: .60
Occupancy Class 2: .71
Occupancy Class 3: .88 </t>
  </si>
  <si>
    <t>Occupancy Class 1: .95
Occupancy Class 2: 1.05
Occupancy Class 3: 1.20</t>
  </si>
  <si>
    <t xml:space="preserve">Occupancy Class 1: .66
Occupancy Class 2: .78
Occupancy Class 3: .96 </t>
  </si>
  <si>
    <t xml:space="preserve">Occupancy Class 1: .82
Occupancy Class 2: .93
Occupancy Class 3: 1.10 </t>
  </si>
  <si>
    <t xml:space="preserve">Retail </t>
  </si>
  <si>
    <t xml:space="preserve">Occupancy Class 1: 1.35 
Occupancy Class 2: 1.45
Occupancy Class 3: 1.60 </t>
  </si>
  <si>
    <t xml:space="preserve">Occupancy Class 1: 1.02
Occupancy Class 2: 1.14
Occupancy Class 3: 1.32 </t>
  </si>
  <si>
    <t xml:space="preserve">Occupancy Class 1: 1.26
Occupancy Class 2: 1.37
Occupancy Class 3: 1.54 </t>
  </si>
  <si>
    <t xml:space="preserve">Occupancy Class 1: 1.65
Occupancy Class 2: 1.75
Occupancy Class 3: 1.90 </t>
  </si>
  <si>
    <t xml:space="preserve">  =Round((Limit /100) x 1.50, 0)</t>
  </si>
  <si>
    <t>If limit = $20,000, then flat $75</t>
  </si>
  <si>
    <t xml:space="preserve">  =Round((Limit /100) x3.00 , 0)</t>
  </si>
  <si>
    <t xml:space="preserve">  If no-co insurance option selected, then=Round((Limit /100) x5.00 , 0), or else
=Round((limit/100) x 3.60, 0)
</t>
  </si>
  <si>
    <t xml:space="preserve">  =Round((Limit /100) x 2.00, 0)</t>
  </si>
  <si>
    <t xml:space="preserve">  =Round((Limit /100) x3.60 ,0)
deductible options $1,000 .95
$2,500 is .88</t>
  </si>
  <si>
    <t>If All Risk option is selected, then =Round((Limit/100) x.90,0)
If Named Perils Option is selected, then =Round ((Limit/100) x .75, 0)</t>
  </si>
  <si>
    <t xml:space="preserve"> =Round((Limit/100) x .90, 0)</t>
  </si>
  <si>
    <t xml:space="preserve"> =Round((Limit/100) x .90,  0)</t>
  </si>
  <si>
    <t xml:space="preserve"> If  Named Perils option is selected, then =Round((Limit/100) x 1.50, 0)
If Broad Form is selected then =Round((Limit/100) x 2.00, 0)</t>
  </si>
  <si>
    <t>If Named Perils option is selected, then =Round ((Limit/100) x .75, 0)
If Named Perils Including Theft option is selected, then  =Round ((Limit/100) x 1.00, 0)
If All Risk Option is selected, then =Round ((Limit/100) x 1.25, 0)</t>
  </si>
  <si>
    <t xml:space="preserve"> =Round((Limit/100) x 2.00, 0)</t>
  </si>
  <si>
    <t>If Named Perils option is selected, then =Round ((Limit/100) x .70, 0)
If All Risk option is selected, then =Round ((Limit/100) x 1.40, 0)</t>
  </si>
  <si>
    <t xml:space="preserve"> =Round ((Limit/100) x .50, 0)</t>
  </si>
  <si>
    <t xml:space="preserve"> =Round ((Limit/100) x 2.00, 0)</t>
  </si>
  <si>
    <t xml:space="preserve"> Round((Limit /100) x Applicable Building Rate x 0.75 x additive discounts x multiplicative discounts, 0)</t>
  </si>
  <si>
    <t xml:space="preserve"> Round((Limit /100) x Applicable Building Rate x additive discounts x multiplicative discounts, 0)</t>
  </si>
  <si>
    <t xml:space="preserve"> =Round((Limit/100) x .38, 0)</t>
  </si>
  <si>
    <t>Limit is the sum total of: Commercial Building, Contents, Property of Every Description, Miscellaneous Church Building Storage, Miscellaneous, Office Equipment, Commercial Condo Unit Owners- Broad Form, Renewable Energy Equipment, Business Protector, Contractors Protector, Church Protector, Business Plus Extension of Coverage, Extended Loss of Income, Actual Loss Sustained, Renewable Energy - Earnings</t>
  </si>
  <si>
    <t>Commercial - Sewer &amp; Septic Tank Coverage</t>
  </si>
  <si>
    <t>BOPSewerSepticCov_IC</t>
  </si>
  <si>
    <t>If Bundle = Home Based Package A, B or C, then premium is included</t>
  </si>
  <si>
    <t>If limit =  $2,500, then flat $25</t>
  </si>
  <si>
    <t>If limit = $5,000, then flat $50</t>
  </si>
  <si>
    <t>If limit = $25,000, then flat $125</t>
  </si>
  <si>
    <t>If limit =  Full Limit, then flat $150</t>
  </si>
  <si>
    <t xml:space="preserve">If Bundle = MGA, user needs to manually enter premium </t>
  </si>
  <si>
    <t>Decreased Deductible Glass &amp; Sign</t>
  </si>
  <si>
    <t>BOPDescDedGlassSignsCov_IC</t>
  </si>
  <si>
    <t>If coverage is selected, then charge flat $50</t>
  </si>
  <si>
    <t>Increased Limit on Tobacco Products</t>
  </si>
  <si>
    <t>BOPIncreasedLimitTobaccoCov_IC</t>
  </si>
  <si>
    <t>If limit = $1,000, then flat $25
If limit = $2,000, then flat $50
If limit = $3,000, then flat $75
If limit = $4,000, then flat $100
If limit = $5,000, then flat $125
If limit = $6,000, then flat $150
If limit = $7,000, then flat $175
If limit = $8,000, then flat $200
If limit =$9,000, then flat $225</t>
  </si>
  <si>
    <t xml:space="preserve">Blanket Glass </t>
  </si>
  <si>
    <t>BOPBlanketGlassCov_IC</t>
  </si>
  <si>
    <t>If coverage is selected, then charge flat $100</t>
  </si>
  <si>
    <t>Commercial - Builders Risk</t>
  </si>
  <si>
    <t>BOPBuildersRiskCov_IC</t>
  </si>
  <si>
    <t>Miscellaneous</t>
  </si>
  <si>
    <t>BOPMiscellaneousCov_IC</t>
  </si>
  <si>
    <t>user entry - rate/hundred</t>
  </si>
  <si>
    <t>Commercial Condo Unit Owners - Broad Form</t>
  </si>
  <si>
    <t>BOPCondoUnitOwnCov</t>
  </si>
  <si>
    <t>Commercial - Office Equipment Endorsemen</t>
  </si>
  <si>
    <t>BOPOfficeEquipEndCov_IC</t>
  </si>
  <si>
    <t>Cemetery Vaults</t>
  </si>
  <si>
    <t>BOPCemeteryVaultsCov_IC</t>
  </si>
  <si>
    <t>Round((Limit/100) x .25, 0)</t>
  </si>
  <si>
    <t>Miscellaneous Church Building Storage</t>
  </si>
  <si>
    <t>BOPMiscChurchBuildingStorageCov_IC</t>
  </si>
  <si>
    <t>Round((Limit/100) x .75, 0)</t>
  </si>
  <si>
    <t>Commercial - Consequential Damage</t>
  </si>
  <si>
    <t>BOPConsequentialDamageCov_IC</t>
  </si>
  <si>
    <t>Round ((Limit/100) x .05, 0)
If calculated premium is less then $25, charge $25 else calculated rate</t>
  </si>
  <si>
    <t>Commercial - Consequential Loss Assumption Clause - Cold Storage</t>
  </si>
  <si>
    <t>BOPConseqLossAssumpClauseColdStorageCov_IC</t>
  </si>
  <si>
    <t>Commercial - Building By-Laws Coverage</t>
  </si>
  <si>
    <t>BOPBuildingByLawsCov_IC</t>
  </si>
  <si>
    <t>Loss Assessment Coverage - Property</t>
  </si>
  <si>
    <t>BOPLossAssesmentPropertyCov_IC</t>
  </si>
  <si>
    <t>Rebuilding Provision</t>
  </si>
  <si>
    <t>BOPRebuildingProvisionCov_IC</t>
  </si>
  <si>
    <t>Round ((Limit/100) x .125, 0)
If calculated premium is less then $25, charge $25 else calculated rate</t>
  </si>
  <si>
    <t>Commercial -Pollution Damage - Insured Premises</t>
  </si>
  <si>
    <t>BOPPollutionDamageInsPremisis_IC</t>
  </si>
  <si>
    <t>If limit = $25,000, then flat $25
If limit = $50,000, then flat $50
If limit = $75,000, then flat $75
If limit = $100,000, then flat $100</t>
  </si>
  <si>
    <t>Commercial -Vacancy Or UnoccupancyPermit</t>
  </si>
  <si>
    <t>BOPVacancyOccupancyPermitCov_IC</t>
  </si>
  <si>
    <t>Commercial - Stock</t>
  </si>
  <si>
    <t>BOPStockCommercialCov_IC</t>
  </si>
  <si>
    <t>Commercial - Equipment</t>
  </si>
  <si>
    <t>BOPEquipmentCommercialCov_IC</t>
  </si>
  <si>
    <t>Commercial -Valuable Papers &amp; Records </t>
  </si>
  <si>
    <t>BOPValuePapersRecordsCov_IC</t>
  </si>
  <si>
    <t>Commercial - Accounts Receivable</t>
  </si>
  <si>
    <t>BOPAccountsReceivableCov_IC</t>
  </si>
  <si>
    <t>Commercial - Fire Divider</t>
  </si>
  <si>
    <t>BOPFireDivider_IC</t>
  </si>
  <si>
    <t>does not rate</t>
  </si>
  <si>
    <t>Commercial - Multi-Peril Divider</t>
  </si>
  <si>
    <t>BOPMultiPerilDivider_IC</t>
  </si>
  <si>
    <t>Renewable Energy Equipment</t>
  </si>
  <si>
    <t>BOPRenewableEnergyEquipmentCov_IC</t>
  </si>
  <si>
    <t>Round ((Limit/100) x .25, 0)
If calculated premium is less then $25, charge $25 else calculated rate</t>
  </si>
  <si>
    <t>Category</t>
  </si>
  <si>
    <t>Subcategory Title</t>
  </si>
  <si>
    <t>SubCategory Indicator</t>
  </si>
  <si>
    <t>Rate/Premium</t>
  </si>
  <si>
    <t>$1M Limit</t>
  </si>
  <si>
    <t xml:space="preserve">$2M </t>
  </si>
  <si>
    <t>$3M</t>
  </si>
  <si>
    <t>$4M</t>
  </si>
  <si>
    <t>$5M</t>
  </si>
  <si>
    <t>$6M</t>
  </si>
  <si>
    <t>$7M</t>
  </si>
  <si>
    <t>$8M</t>
  </si>
  <si>
    <t>$9M</t>
  </si>
  <si>
    <t>$10M</t>
  </si>
  <si>
    <t>Commercial - Additional insured</t>
  </si>
  <si>
    <t>GLAdditionalInsured_IC</t>
  </si>
  <si>
    <t xml:space="preserve">Roles, if type = Snow Removal </t>
  </si>
  <si>
    <t xml:space="preserve"> =premium</t>
  </si>
  <si>
    <t xml:space="preserve"> =$2M Limit premium x 1.20.</t>
  </si>
  <si>
    <t xml:space="preserve"> =$2M limit premium x 1.30.</t>
  </si>
  <si>
    <t xml:space="preserve"> =$2M Limit premium x 1.40.</t>
  </si>
  <si>
    <t xml:space="preserve"> =$2M limit premium x 1.50.</t>
  </si>
  <si>
    <t xml:space="preserve"> =$2M Limit premium x 1.59.</t>
  </si>
  <si>
    <t xml:space="preserve"> =$2M Limit premium x 1.67.</t>
  </si>
  <si>
    <t xml:space="preserve"> =$2M Limit premium x 1.74. </t>
  </si>
  <si>
    <t xml:space="preserve"> =$2M limit premium X 1.80.</t>
  </si>
  <si>
    <t>Druggist Liability Extension</t>
  </si>
  <si>
    <t>GLDrugLiabExt_IC</t>
  </si>
  <si>
    <t>Each Store</t>
  </si>
  <si>
    <t>88.89/store</t>
  </si>
  <si>
    <t>Registered Pharmacy/Prescription Clerks</t>
  </si>
  <si>
    <t>17.90/employee</t>
  </si>
  <si>
    <t>Other Employees</t>
  </si>
  <si>
    <t>5.94/employee</t>
  </si>
  <si>
    <t xml:space="preserve"> =$1M limit premium x 1.18</t>
  </si>
  <si>
    <t>Employers' Bodily Injury Extension</t>
  </si>
  <si>
    <t>GLEmpBodInjuryExt_IC</t>
  </si>
  <si>
    <t>Designated Premises Endorsement</t>
  </si>
  <si>
    <t>GLDesigPremisEnd_IC</t>
  </si>
  <si>
    <t>Beauty Parlour or Barber Shop Liability Extension</t>
  </si>
  <si>
    <t>GLBeautyParlORBarbShopLiabExt_IC</t>
  </si>
  <si>
    <t># of Operators</t>
  </si>
  <si>
    <t>Morticians Professional Liability Extension</t>
  </si>
  <si>
    <t>GLMorticProfLiabExt_IC</t>
  </si>
  <si>
    <t># of Funerals</t>
  </si>
  <si>
    <t>1.63/funeral</t>
  </si>
  <si>
    <t>Veterinarians Professional Liability Extension</t>
  </si>
  <si>
    <t>GLVeterProfLiabExt_IC</t>
  </si>
  <si>
    <t># of Principals</t>
  </si>
  <si>
    <t>65.25/principal</t>
  </si>
  <si>
    <t>65.25/assistant</t>
  </si>
  <si>
    <t># of Assistants</t>
  </si>
  <si>
    <t># of Employees</t>
  </si>
  <si>
    <t>6.54/ employee</t>
  </si>
  <si>
    <t>Voluntary Compensation for Church Employees and Volunteers</t>
  </si>
  <si>
    <t>GLVoluntCompForChurchEmplAndVolunt_IC</t>
  </si>
  <si>
    <t>Discount</t>
  </si>
  <si>
    <t>Package Applicable</t>
  </si>
  <si>
    <t>Discount Detached</t>
  </si>
  <si>
    <t>Discount Concrete</t>
  </si>
  <si>
    <t>Discount OwnerOccupied</t>
  </si>
  <si>
    <t>Discount Electrical Circuit Breakers</t>
  </si>
  <si>
    <t>Discount Claims Free</t>
  </si>
  <si>
    <t>Deductible
500</t>
  </si>
  <si>
    <t>Ready for elab</t>
  </si>
  <si>
    <t>CommPkgAptRetOffChurRealty</t>
  </si>
  <si>
    <t>Sheet</t>
  </si>
  <si>
    <t>Type</t>
  </si>
  <si>
    <t>ContractorsPackages</t>
  </si>
  <si>
    <t xml:space="preserve">Reference </t>
  </si>
  <si>
    <t xml:space="preserve">Do not utilize </t>
  </si>
  <si>
    <t>CommMultiplicativeDiscSur</t>
  </si>
  <si>
    <t>CommBLDGRates - Algo_Rate</t>
  </si>
  <si>
    <t>CommFloaters - Algo_Rates</t>
  </si>
  <si>
    <t>AddtlCoverage - Algo_Rates</t>
  </si>
  <si>
    <t>CommercialLiabExt - Algo_Rate</t>
  </si>
  <si>
    <t>CommIncomeExpense - Algo_Rate</t>
  </si>
  <si>
    <t>FloodInstructions - Factors</t>
  </si>
  <si>
    <t>OperationClass - Factors</t>
  </si>
  <si>
    <t>CommCrime - Flat Factors</t>
  </si>
  <si>
    <t>CommercialPKG - Factors</t>
  </si>
  <si>
    <t>CommAdditiveDisc- Factors</t>
  </si>
  <si>
    <t>Ready for Elab</t>
  </si>
  <si>
    <t>Requirements in progress</t>
  </si>
  <si>
    <t>Requirements in Progress</t>
  </si>
  <si>
    <t>CyberOne- Computer Attack</t>
  </si>
  <si>
    <t>BOPCyberOneCompAttackCov_IC</t>
  </si>
  <si>
    <t>If limit =$50,000 and deductible = $2,500 then flat $144</t>
  </si>
  <si>
    <t>If limit = $50,000 and deductible = $5,000, then flat $118</t>
  </si>
  <si>
    <t>If limit = $50,000 and deductible = $10,000, then flat $97</t>
  </si>
  <si>
    <t>if limit = $100,000 and deductible =$5,000, then flat $319</t>
  </si>
  <si>
    <t>If limit = $100,000 and deductible = $10,000, then flat $125</t>
  </si>
  <si>
    <t>if limit = $100,000 and deductible = $2,500, coverage not available</t>
  </si>
  <si>
    <t>Cyber One - Network Security Liability</t>
  </si>
  <si>
    <t>GLCybOneNetSecLiab_IC</t>
  </si>
  <si>
    <t>If limit = $50,000 and deductible =$2,500, then flat $177</t>
  </si>
  <si>
    <t>If limit = $50,000 and deductible = $5,000, then flat $146</t>
  </si>
  <si>
    <t>If limit = $50,000 and deductible = $10,000, then flat $138</t>
  </si>
  <si>
    <t>If limit = $100,000 and deductible = $5,000, then flat $215</t>
  </si>
  <si>
    <t>If limit = $100,000 and deductible = $10,000, then flat $179</t>
  </si>
  <si>
    <t>Supplement Extended Reporting Period</t>
  </si>
  <si>
    <t>User entry required, flat rate</t>
  </si>
  <si>
    <t>Data Compromise Coverage - Response Expenses </t>
  </si>
  <si>
    <t>BOPDataCompromiseResponseExpenseCov_IC</t>
  </si>
  <si>
    <t>For $1,000 deductible:
If limit = $50,000, then flat $82
If limit =$100,000, then flat $125
If limit = $250,000, then flat $228
If limit=$500,000, then flat $340
If limit = $100,000, then flat $459</t>
  </si>
  <si>
    <t>Data Compromise Coverage -  Defense and Liability</t>
  </si>
  <si>
    <t>GLDataCompCovDefAndLiab_IC</t>
  </si>
  <si>
    <t>For $1,000 deductible:
If limit = $50,000, then flat $32
If limit =$100,000, then flat $49
If limit = $250,000, then flat $90
If limit=$500,000, then flat $133
If limit = $100,000, then flat $179</t>
  </si>
  <si>
    <t xml:space="preserve">Deductible Discounts to apply to both Data Compromise Coverage - Response Expenses and Defense and Liability </t>
  </si>
  <si>
    <t>Limit</t>
  </si>
  <si>
    <t>If Bundle = Contractors &amp; limit = $10,000, then premium is included
If Bundle = Contractor's Gold or Non Package and limit = $10,000, the premium = $50</t>
  </si>
  <si>
    <t>If Bundle = Contractors &amp; limit = $15,000, then premium is $50
If Bundle = Contractor's Gold or Non Package and limit = $15,000, the premium = $100</t>
  </si>
  <si>
    <t>If Bundle = Contractors &amp; limit = $30,000, then flat $100
If Bundle = Contractors Gold or Non Package and limit = $30,000, then flat $150</t>
  </si>
  <si>
    <t>If Bundle = Contractors &amp; limit = $50,000, then flat $125
If Bundle = Contractors Gold or Non Package and limit = $50,000, then flat $175</t>
  </si>
  <si>
    <t xml:space="preserve">User entrry- rate/hundred field </t>
  </si>
  <si>
    <t>user entry - flat rate</t>
  </si>
  <si>
    <t>user entry -flat rate</t>
  </si>
  <si>
    <t>If form = Broad and kW is = or &lt; 10, then Round ((Limit/100 x .38, 0)</t>
  </si>
  <si>
    <t>If form = Named Perils and kW is = or &lt;10, then Round ((Limit/100 x .33, 0)</t>
  </si>
  <si>
    <t>If form = Broad and kW is &gt; 10, the Round ((Limit/100 x .30, 0)</t>
  </si>
  <si>
    <t>If form = Named Perils and kW is &gt; 10, then Round ((Limit/100 x .25, 0)</t>
  </si>
  <si>
    <t>** if building rate is higher, charge building rate</t>
  </si>
  <si>
    <t>Note: If Bundle = Contractors Gold,  $5,000 limit at no co-insurance is automatically included &amp; premium charge for this would be $100</t>
  </si>
  <si>
    <t xml:space="preserve">Note: If Bundle = Contractors Gold $25,000 Contractors Equipment Floater Blanket with no-co insurance, is automatically included, premium charge $100 </t>
  </si>
  <si>
    <t>If Bundle = Contractors Gold &amp;  $10,000 option is selected then flat, $50 or else charge flat $150
If $20,000 option is selected, then flat $300
If $50,000 option is selected, then flat $400</t>
  </si>
  <si>
    <t>If Bundle = Apartment Building Owners,
then
Round((Building Limit/100) x Apartment Building Owners Rate (Grade &amp; construction) x additive charges x multiplicative charges, 0)</t>
  </si>
  <si>
    <t>If Bundle = Commercial Building Owners Realty
then
Round((Building Limit/100) x Commercial Building Owners Realty Rate (Grade, construction &amp; occupancy type) x additive charges x multiplicative charges, 0)</t>
  </si>
  <si>
    <t>If Bundle = Retail Store Package,
then
Round((Building Limit/100) x Retail Store Package rate (Grade &amp; construction) x additive charges x multiplicative charges, 0)</t>
  </si>
  <si>
    <t>If Bundle = Office Package,
then
Round((Building Limit/100) x Office Package rate (Grade &amp; construction) x additive charges x multiplicative charges, 0)</t>
  </si>
  <si>
    <t>If Bundle = Church Package,
then
Round((Building Limit/100) x Church Package rate (Grade &amp; construction) x additive charges x multiplicative charges, 0)</t>
  </si>
  <si>
    <t>If Bundle = Contractor's Package,
then
Round((Building Limit/100) x Contractor's Package rate (Grade &amp; construction) x additive charges x multiplicative charges, 0)</t>
  </si>
  <si>
    <t>If Bundle = Contractor's Gold Package,
then
Round((Building Limit/100) x Contractor's Gold Package rate (Grade &amp; construction) x additive charges x multiplicative charges, 0)</t>
  </si>
  <si>
    <t>If Bundle = Home Based Business,
then
Round((Building Limit/100) x Home Based Busines rate (Grade &amp; construction) x additive charges x multiplicative charges, 0)</t>
  </si>
  <si>
    <t xml:space="preserve">If limit = $2,500 and if Bundle = Contractor's Gold, then flat $50
If limit = $2,500 and if Bundle = Retail,  Church, or Non Package then flat $175
If limit = $2,500 and if Bundle = Office, Apartment, Commercial Building Owners Realty, or Contractors then flat $150 </t>
  </si>
  <si>
    <t>If limit = $5,000 and if Bundle = Contractors, then flat $175
If limit = $5,000 and if Bundle = Church, Office, Apartment, Commercial Building Owners Realty or Non Package, then flat $200
If limit = $5,000 and if Bundle = Retail or Contractors Gold, then flat $225</t>
  </si>
  <si>
    <t>If limit = $10,000 and if Bundle = Contractors, then flat $200
If limit = $10,000 and if Bundle = Office, Apartment, Commercial Building Owners Realty, Contractors Gold or Non Package, then flat $275
If limit = $10,000 and if Bundle = Church or Retail, then flat $300</t>
  </si>
  <si>
    <t>BOPPersonalPropCov</t>
  </si>
  <si>
    <t>If Bundle = Apartment Building Owners,
then
Round((Contents Limit/100) x Apartment Building Owners Rate (Grade &amp; construction) x additive charges x multiplicative charges, 0)</t>
  </si>
  <si>
    <t>If Bundle = Commercial Building Owners Realty
then
Round((Contents Limit/100) x Commercial Building Owners Realty Rate (Grade, construction &amp; occupancy type) x additive charges x multiplicative charges, 0)</t>
  </si>
  <si>
    <t>If Bundle = Retail Store Package,
then
Round((Contents Limit/100) x Retail Store Package rate (Grade, construction &amp; occupancy class) x additive charges x multiplicative charges, 0)</t>
  </si>
  <si>
    <t>If Bundle = Office Package,
then
Round((Content Limit/100) x Office Package rate (Grade &amp; construction) x additive charges x multiplicative charges, 0)</t>
  </si>
  <si>
    <t>If Bundle = Church Package,
then
Round((Contents Limit/100) x Church Package rate (Grade &amp; construction) x additive charges x multiplicative charges, 0)</t>
  </si>
  <si>
    <t>If Bundle = Contractor's Package,
then
Round((Contents Limit/100) x Contractor's Package rate (Grade &amp; construction) x additive charges x multiplicative charges, 0)</t>
  </si>
  <si>
    <t>If Bundle = Contractor's Gold Package,
then
Round((Contents Limit/100) x Contractor's Gold Package rate (Grade &amp; construction) x additive charges x multiplicative charges, 0)</t>
  </si>
  <si>
    <t>$20,000 automatically included on Gold Package and $15 premium should be assigned to the $20,000</t>
  </si>
  <si>
    <t>If Bundle = Home Based Business, 
then
flat charge (grade &amp; construction)</t>
  </si>
  <si>
    <t>User Entry - Rate/$100 field required</t>
  </si>
  <si>
    <t xml:space="preserve"> =Round((limit/100) x .075, 0) If calculated premium is less then $25, charge $25 else calculated rate</t>
  </si>
  <si>
    <t xml:space="preserve">If Retail Package or Office Package Bundle is selected then = $100
If Non-Package, rate/$100 field required, if we decide to go with limit or else would require flat rate field
</t>
  </si>
  <si>
    <t>Different indemnity periods</t>
  </si>
  <si>
    <t>**Home Based
Different indemnity periods</t>
  </si>
  <si>
    <t>If Bundle = Contractors, then $2,500 included</t>
  </si>
  <si>
    <t>$5,000 automatically included in Contractors Package</t>
  </si>
  <si>
    <t>Rate/$100 field</t>
  </si>
  <si>
    <t>**note for MGA rate/$100 field required for both Flood and Earthquake</t>
  </si>
  <si>
    <t>Earthquake Instructions</t>
  </si>
  <si>
    <t>Rate when TIV limit is &lt;$1M</t>
  </si>
  <si>
    <t>Rate when TIV limit is &gt;$2M</t>
  </si>
  <si>
    <t>Rate when TIV up to $250,000</t>
  </si>
  <si>
    <t>TIV from $250,001 to $500,000</t>
  </si>
  <si>
    <t>TIV from $500,001 to $1,000,000</t>
  </si>
  <si>
    <t>TIV from $1,000,001 to $2,000,000</t>
  </si>
  <si>
    <t>TIV from $2,000,001 to $3,000,000</t>
  </si>
  <si>
    <t>TIV from $3,000,001 to $4,000,000</t>
  </si>
  <si>
    <t>TIV from $4,000,001 to $5,000,000</t>
  </si>
  <si>
    <t>For both Flood &amp; Quake, user needs ability to override rate</t>
  </si>
  <si>
    <t xml:space="preserve">Over $5M </t>
  </si>
  <si>
    <t>user entry required</t>
  </si>
  <si>
    <t>Rate per hundred field on these coverages should be able to be overwritten by the user</t>
  </si>
  <si>
    <t>Commercial - Equipment Breakdown (Manuscript) </t>
  </si>
  <si>
    <t>BOPMechBreakdownManuScriptCov_IC</t>
  </si>
  <si>
    <t>User entry - Rate/$100 field required</t>
  </si>
  <si>
    <t>Commercial -Property of Every Description</t>
  </si>
  <si>
    <t>BOPPropertyEverDescrCov_IC</t>
  </si>
  <si>
    <t>user entry - Rate/$100 field reqiured</t>
  </si>
  <si>
    <t>Commercial - Water Escape &amp; Falling Object</t>
  </si>
  <si>
    <t>BOPWaterEscapeFallingObjCov_IC</t>
  </si>
  <si>
    <t>not ratable</t>
  </si>
  <si>
    <t xml:space="preserve">If Bundle = Retail, limit included is same as contents limit, for Increased limits charge Applicable Building Rate
If Bundle = Office, $50,000 coverage automatically included for increase limits charge applicable building rate
If Bundle= Church, $10,000 limit is included to increase limit charge applicable building rate subject to min. $25
If Bundle = Contractors then $10,000 automatically included, increaed limits charge applicable building rate subject to $25 min. 
If Bundle = Contractors Gold, then $20,000 is included at a premium of $15, increased limits charge applicable building rate subject to $25 min. 
If Bundle = Non Package then rate/$100 field required </t>
  </si>
  <si>
    <t>Commercial Building - Rate/$100</t>
  </si>
  <si>
    <t>Commercial Contents - Rate/$100</t>
  </si>
  <si>
    <t>Flat Rates on contents</t>
  </si>
  <si>
    <t>Deductible options?</t>
  </si>
  <si>
    <t>**deductible discounts?</t>
  </si>
  <si>
    <t>*****no-co and then increased limits with co-insurance?</t>
  </si>
  <si>
    <t>if Bundle = Non Package,
then
User entry in rate/100 is required X deductible discounts</t>
  </si>
  <si>
    <t>Church Counseling Liablity Extension</t>
  </si>
  <si>
    <t>GLChurchCounsLiabExt_IC</t>
  </si>
  <si>
    <t>Broad Form Completed Operations Endorsement</t>
  </si>
  <si>
    <t>GLBroadFormCompOperEnd_IC</t>
  </si>
  <si>
    <t>Limited Product Recall Expense</t>
  </si>
  <si>
    <t>GLLimProdRecExpense_IC</t>
  </si>
  <si>
    <t>$75/operators</t>
  </si>
  <si>
    <t>$100/ operators</t>
  </si>
  <si>
    <t>If limit = $50,000, then flat $25/operation
If limit = $100,000, then flat  $35/operation
If limit = $250,000. then flat $65/operation
if limit = $500,000, then flat $115/operation</t>
  </si>
  <si>
    <t>Unmanned Air Vehicles Systems</t>
  </si>
  <si>
    <t>GLUnmanAirVehSys_IC</t>
  </si>
  <si>
    <t>1 unit, then flat premium $500
2 units, then flat premium $750
3 units, the flat premium $1,000
more then 4, user entry required</t>
  </si>
  <si>
    <t>1unit, then flat premium $690
2 units, then flat premium $1,035
3 Units, then flat premium $1,380
more then 4 units, user entry required</t>
  </si>
  <si>
    <t>Abuse Limitation</t>
  </si>
  <si>
    <t>GLAbuseLim_IC</t>
  </si>
  <si>
    <t>Annual Budget of Church</t>
  </si>
  <si>
    <t>$100,000 or less, then flat $75
$100,001 to $250,000, then flat $150
$250,001 or more, then flat $250</t>
  </si>
  <si>
    <t>only $1,000,000 limit available for this coverage</t>
  </si>
  <si>
    <t>N/A</t>
  </si>
  <si>
    <t>n/A</t>
  </si>
  <si>
    <t>Liability Coverage Extension - Renewable Energy</t>
  </si>
  <si>
    <t>Liability Extension - Miscellaneous</t>
  </si>
  <si>
    <t>User entry field required - flat rate</t>
  </si>
  <si>
    <t>Non-Owned Livestock Liability Endorsement</t>
  </si>
  <si>
    <t>Watercraft Liability Extension</t>
  </si>
  <si>
    <t>Liability Extended to Cover Cemetery Max 2 Acre</t>
  </si>
  <si>
    <t>Innkeepers Liability Endorsement</t>
  </si>
  <si>
    <t>Not for Profit Directors' &amp; Officers' Liability Insurance  Rider</t>
  </si>
  <si>
    <t>GLNFPDirectorsOfficersLiabilityInsRiderCov_IC</t>
  </si>
  <si>
    <t>Coverage Name</t>
  </si>
  <si>
    <t>Annual Revenues/Budget</t>
  </si>
  <si>
    <t>$0- $50,000</t>
  </si>
  <si>
    <t>$50,001 - $100,000</t>
  </si>
  <si>
    <t>$100,001 - $250,000</t>
  </si>
  <si>
    <t>$250,001 - $500,000</t>
  </si>
  <si>
    <t>$500,001 - $1,000,000</t>
  </si>
  <si>
    <t>$1,000,001 +</t>
  </si>
  <si>
    <t xml:space="preserve">user entry </t>
  </si>
  <si>
    <t>user entry</t>
  </si>
  <si>
    <t>User needs ability to override rates as if different deductible utilized, rating has to be obtained from Reinsurer</t>
  </si>
  <si>
    <t>For SIC codes 8671 or 7261 15% discount allowed on $1,000,000 or $2,000,000 limits</t>
  </si>
  <si>
    <t>Not for Profit Directors' &amp; Officers' Liability Insurance   Rider - Discovery Period</t>
  </si>
  <si>
    <t>GLNFPDirectorsOfficersLiabilityInsRiderDiscoveryPeriodCov_IC</t>
  </si>
  <si>
    <t>50% of the Non for Profit Directors' &amp; Officers' Liability Insurance Rider Premium</t>
  </si>
  <si>
    <t>Pollution Liability Coverage</t>
  </si>
  <si>
    <t>GLPollutionLiabilityCov_IC</t>
  </si>
  <si>
    <t xml:space="preserve">If Pollution Liability Class = 2, then flat premium $100
If Pollution Liability Class = 3, then flat premium $150
If Pollution Liaiblity Class = 4, then flat premium $200
</t>
  </si>
  <si>
    <t>Other Classes and Limits, user Entry Required.</t>
  </si>
  <si>
    <t>Pollution Liability Coverage Extension for Land Exterminators</t>
  </si>
  <si>
    <t>GLPollutionLiabilityExtLandExterminatorsCov_IC</t>
  </si>
  <si>
    <t>User must use SIC 0733 to capture revenue</t>
  </si>
  <si>
    <t>Revenue $0- $5,000, then flat premium $350
Revenue $5,001 to $20,000, then flat premium $750
Revenue $20,001 to $30,000, the flat $975
Revenue $30,001 to $40,000, the flat $1,050
Revenue $40,001 to $80,000, the flat $1,500
Revenue $80,001 to $100,000, the flat $2,500
Revenue over $100,000, user entry required
Other limits/ deductibles user entry required</t>
  </si>
  <si>
    <t>Farmers' Limited Pollution Liability Insurance</t>
  </si>
  <si>
    <t>GLFarmersLimitedPolutionLiabilityCov_IC</t>
  </si>
  <si>
    <t>Agricultural Environmental Impairment Liability</t>
  </si>
  <si>
    <t>GLAgriculturalEnvironmentImpairmentCov_IC</t>
  </si>
  <si>
    <t>If fire grade = hydrant protected or firehall = within 15km, then
Round((Limit/100) x,60, 0)
If Broad form is selected and fire protection is 16km or over from firehall or no firehall, then 
Round((Limit/100) x,75, 0)
Feb 25: Update:
Minimum retained premium for this endorsement is 50% of the calculated annual premium.</t>
  </si>
  <si>
    <t>Rate when TIV limit is &gt;$1M&lt;$2M
Update Feb 25: 
Rate when TIV limit is &gt;=$1m &lt;$2M</t>
  </si>
  <si>
    <t>QUOTEY INPUTS</t>
  </si>
  <si>
    <t>INSURER QUALIFYING RULES</t>
  </si>
  <si>
    <t>MAPPING</t>
  </si>
  <si>
    <t>FINAL ALGORITHM INPUTS</t>
  </si>
  <si>
    <t>This section takes all the inputs from Quotey to qualify the risk and to enable pricing in the insurer's algorithm.  Simples.</t>
  </si>
  <si>
    <t>This section applies all individual risk qualification rules to the risk in question.  These rules are set by the insurer.  Nothing can be quoted unless the risk qualifies in all elements.  Output here is "Quote", "Refer", "Decline" together with which rule(s) has failed.</t>
  </si>
  <si>
    <t>This section looks to map all M&amp;W inputs into appropriate insurer inputs for their algorithm.</t>
  </si>
  <si>
    <t>This section outlines all mapped inputs that are dropped directly into the insurers rating algorithm.</t>
  </si>
  <si>
    <t>Autoquote test result (0=Quote)</t>
  </si>
  <si>
    <t>Outcome:</t>
  </si>
  <si>
    <t>Input</t>
  </si>
  <si>
    <t>Result</t>
  </si>
  <si>
    <t>Refer test result (0 = refer if no quote offered)</t>
  </si>
  <si>
    <t>No Quote Reason:</t>
  </si>
  <si>
    <t>M&amp;W Code</t>
  </si>
  <si>
    <t>M&amp;W Description</t>
  </si>
  <si>
    <t>Output</t>
  </si>
  <si>
    <t>Referral Reason:</t>
  </si>
  <si>
    <t>Insured address postal code</t>
  </si>
  <si>
    <t>Rule #</t>
  </si>
  <si>
    <t>Quotey Mapped Input</t>
  </si>
  <si>
    <t>Client value</t>
  </si>
  <si>
    <t>Target</t>
  </si>
  <si>
    <t>Test result</t>
  </si>
  <si>
    <t>Refer if Fail?</t>
  </si>
  <si>
    <t>Refer Result</t>
  </si>
  <si>
    <t>Fail Reason</t>
  </si>
  <si>
    <t>Refer Reason</t>
  </si>
  <si>
    <t>Other known losses</t>
  </si>
  <si>
    <t>% subcontracted</t>
  </si>
  <si>
    <t>Subcontractor Certificates</t>
  </si>
  <si>
    <t>Installation Floater Limit</t>
  </si>
  <si>
    <t>Years relevant experience</t>
  </si>
  <si>
    <t>Licensed</t>
  </si>
  <si>
    <t>Previous Refusals</t>
  </si>
  <si>
    <t xml:space="preserve">  - Op 1 Revenues</t>
  </si>
  <si>
    <t xml:space="preserve">  - Op 1 % Residential</t>
  </si>
  <si>
    <t xml:space="preserve">  - Op 1 % Commercial</t>
  </si>
  <si>
    <t xml:space="preserve">  - Op 2 Revenues</t>
  </si>
  <si>
    <t xml:space="preserve">  - Op 2 % Residential</t>
  </si>
  <si>
    <t xml:space="preserve">  - Op 2 % Commercial</t>
  </si>
  <si>
    <t xml:space="preserve">  - Op 3 Revenues</t>
  </si>
  <si>
    <t xml:space="preserve">  - Op 3 % Residential</t>
  </si>
  <si>
    <t xml:space="preserve">  - Op 3 % Commercial</t>
  </si>
  <si>
    <t xml:space="preserve">  - Op 4 Revenues</t>
  </si>
  <si>
    <t xml:space="preserve">  - Op 4 % Residential</t>
  </si>
  <si>
    <t xml:space="preserve">  - Op 4 % Commercial</t>
  </si>
  <si>
    <t xml:space="preserve">  - Op 5 Revenues</t>
  </si>
  <si>
    <t xml:space="preserve">  - Op 5 % Residential</t>
  </si>
  <si>
    <t xml:space="preserve">  - Op 5 % Commercial</t>
  </si>
  <si>
    <t>Tools Limit Required</t>
  </si>
  <si>
    <t>Contractors Equipment Limit Required</t>
  </si>
  <si>
    <t>Contents Limit Required</t>
  </si>
  <si>
    <t>Installation Floater Limit Required</t>
  </si>
  <si>
    <t>CGL Limit required</t>
  </si>
  <si>
    <t>Contractors Tools Coverage &amp; Limit Required</t>
  </si>
  <si>
    <t>Input from Quotey</t>
  </si>
  <si>
    <t>Quotey Selection</t>
  </si>
  <si>
    <t>Options</t>
  </si>
  <si>
    <t>Mapped Output</t>
  </si>
  <si>
    <t>Send to Algorithm</t>
  </si>
  <si>
    <t>Tools Limit</t>
  </si>
  <si>
    <t>Not required</t>
  </si>
  <si>
    <t>Closest Match</t>
  </si>
  <si>
    <t>Declined</t>
  </si>
  <si>
    <t>Contractors Equipment Coverage &amp; Limit Required</t>
  </si>
  <si>
    <t>Equipment Limit</t>
  </si>
  <si>
    <t>Include</t>
  </si>
  <si>
    <t>Installation Floater Coverage &amp; Limit Required</t>
  </si>
  <si>
    <t>CGL Coverage &amp; Limit Required</t>
  </si>
  <si>
    <t>Other limit</t>
  </si>
  <si>
    <t>Cyber Limit Requested</t>
  </si>
  <si>
    <t>No previous cancellations, declinations, refused renewals in last 5 years</t>
  </si>
  <si>
    <t>Claims free for at least 3 years</t>
  </si>
  <si>
    <t>Building not occupied solely by students</t>
  </si>
  <si>
    <t>Building electrical service over 100 amps</t>
  </si>
  <si>
    <t>Dwelling has no roomers / boarders</t>
  </si>
  <si>
    <t>Account not sub-brokered</t>
  </si>
  <si>
    <t>Premises does not have home made wood burning device</t>
  </si>
  <si>
    <t>Premises does not have underground fuel tanks</t>
  </si>
  <si>
    <t>Client is in brokers usual working area</t>
  </si>
  <si>
    <t>Minimum 3 years trade experience</t>
  </si>
  <si>
    <t>Maximum 10 employees</t>
  </si>
  <si>
    <t>No selling, renting or leasing equipment</t>
  </si>
  <si>
    <t>Maximum receipts of $2M</t>
  </si>
  <si>
    <t>No woodworking on premises</t>
  </si>
  <si>
    <t>Property age &lt; 25 years (if insured)</t>
  </si>
  <si>
    <t>No vacant sections in property</t>
  </si>
  <si>
    <t>Adequate crime protection given value of contents</t>
  </si>
  <si>
    <t>No woodstoves, space heaters, commercial DFF in building</t>
  </si>
  <si>
    <t>Mapping M&amp;W Trade Codes to Commonwell Operations</t>
  </si>
  <si>
    <t>Comm Code</t>
  </si>
  <si>
    <t>Commonwell Description</t>
  </si>
  <si>
    <t>Prmises within 305 m of two fully pressurized fire hydrants</t>
  </si>
  <si>
    <t>Premises on a year round accessible rd within 8km of a permanent or voliunteer fire brigade where there is an agreement to service the area.</t>
  </si>
  <si>
    <t>Premises on a year round accessible rd over 8km (by road) of a permanent or volunteer fire brigade where there is an agrreement to service the area.</t>
  </si>
  <si>
    <t>Fire Resistive or non-combustible with steel deck roof</t>
  </si>
  <si>
    <t>Major construction solid brick, concrete block, concrete stone, hollow tile, brick veneer, and steel on steel framing</t>
  </si>
  <si>
    <t>All other constructions</t>
  </si>
  <si>
    <t>Property held for speculation, urban development, demolishing</t>
  </si>
  <si>
    <t>Calculate base rates from liability Operations for all operations</t>
  </si>
  <si>
    <t>Operation</t>
  </si>
  <si>
    <t>Gross Revenues</t>
  </si>
  <si>
    <t>Premium Calculated</t>
  </si>
  <si>
    <t>Name</t>
  </si>
  <si>
    <t>Rate (per $1,000 gross revenue)</t>
  </si>
  <si>
    <t>CGL Limit Required</t>
  </si>
  <si>
    <t>Premium Applied</t>
  </si>
  <si>
    <t>20% Condition</t>
  </si>
  <si>
    <t>20% Clause applies?</t>
  </si>
  <si>
    <t>Property Damage Deductible</t>
  </si>
  <si>
    <t>Calculate property base rates</t>
  </si>
  <si>
    <t>Construction Class</t>
  </si>
  <si>
    <t>Property detached?</t>
  </si>
  <si>
    <t>Yes</t>
  </si>
  <si>
    <t>Concrete Floors at Ground</t>
  </si>
  <si>
    <t>Owner Occupied</t>
  </si>
  <si>
    <t>Sprinklered</t>
  </si>
  <si>
    <t>Woodworking in building</t>
  </si>
  <si>
    <t>Buildings Value</t>
  </si>
  <si>
    <t>Contents Value</t>
  </si>
  <si>
    <t>Value</t>
  </si>
  <si>
    <t>Rate per $100</t>
  </si>
  <si>
    <t>Protection Grade</t>
  </si>
  <si>
    <t>Property Subtotal</t>
  </si>
  <si>
    <t>Discounts</t>
  </si>
  <si>
    <t>Available Discount</t>
  </si>
  <si>
    <t>Applied Discount</t>
  </si>
  <si>
    <t>Discount Subtotal</t>
  </si>
  <si>
    <t>Property after Discount</t>
  </si>
  <si>
    <t>Tools Coverage</t>
  </si>
  <si>
    <t>Tools limit Requested</t>
  </si>
  <si>
    <t>Co-Insurance</t>
  </si>
  <si>
    <t>Rate with No Co-Insurance</t>
  </si>
  <si>
    <t>Rate with 80% Co-insurance</t>
  </si>
  <si>
    <t>Subtotal</t>
  </si>
  <si>
    <t>Tools subtotal</t>
  </si>
  <si>
    <t>None</t>
  </si>
  <si>
    <t>Tools Total Premium</t>
  </si>
  <si>
    <t>Contractors Equipment</t>
  </si>
  <si>
    <t>Tools Co-insurance</t>
  </si>
  <si>
    <t>Contractors Equipment total</t>
  </si>
  <si>
    <t>Contractors Equipment (single item)</t>
  </si>
  <si>
    <t>Contractors Equipment Limit Requested</t>
  </si>
  <si>
    <t>Contractors Equipment Co-insurance</t>
  </si>
  <si>
    <t>Installation Floater Limit Requested</t>
  </si>
  <si>
    <t>Total Contractors Equipment Premium</t>
  </si>
  <si>
    <t>Tools total</t>
  </si>
  <si>
    <t>Tools single item</t>
  </si>
  <si>
    <t>Loss of Income</t>
  </si>
  <si>
    <t>Amount automatically included</t>
  </si>
  <si>
    <t>Excess Limit Requested</t>
  </si>
  <si>
    <t>Extended Loss of Income Limit Requested</t>
  </si>
  <si>
    <t>Extended loss of income</t>
  </si>
  <si>
    <t>Loss of Income Subtotal</t>
  </si>
  <si>
    <t>Money &amp; Securities</t>
  </si>
  <si>
    <t>Inside / Outside Robbery</t>
  </si>
  <si>
    <t>Comp 3D</t>
  </si>
  <si>
    <t>Loss to Third party 3D</t>
  </si>
  <si>
    <t>Total Loss of Income Premium</t>
  </si>
  <si>
    <t>Premium for Coverage</t>
  </si>
  <si>
    <t>Total Crime Premium</t>
  </si>
  <si>
    <t>Crime - Money &amp; Securities</t>
  </si>
  <si>
    <t>Crime - Inside / Outside Robbery</t>
  </si>
  <si>
    <t>Crime - Comprehensive 3D</t>
  </si>
  <si>
    <t>Crime - Loss to Third Party Extension to 3D</t>
  </si>
  <si>
    <t>Total Calculated Premium</t>
  </si>
  <si>
    <t>Additional coverages limit</t>
  </si>
  <si>
    <t>Cover Increase Required</t>
  </si>
  <si>
    <t>Base Limit</t>
  </si>
  <si>
    <t>Sewer, Sump limit</t>
  </si>
  <si>
    <t>* Note - base limit is $10K for coverages 8-29.  Can be increased to either $15K or $30K only</t>
  </si>
  <si>
    <t>Sewer, Sump coverage</t>
  </si>
  <si>
    <t>Additional coverages</t>
  </si>
  <si>
    <t>* Note - sewer / sump coverage options of $2.5k, $5k, $10k, $25k, or Total B&amp;C limit</t>
  </si>
  <si>
    <t>Sewer and sump coverage</t>
  </si>
  <si>
    <t>Increased Limits Total</t>
  </si>
  <si>
    <t>Increase Limits &amp; Frills</t>
  </si>
  <si>
    <t>Glass/ signs deductible buy down</t>
  </si>
  <si>
    <t>Glass / signs deductible</t>
  </si>
  <si>
    <t>Glass &amp; signs deductible at $100</t>
  </si>
  <si>
    <t>Final Property Premium</t>
  </si>
  <si>
    <t>Final Liability Premium</t>
  </si>
  <si>
    <t>Total Calculated Property Premium</t>
  </si>
  <si>
    <t>Total Calculated Liability Premium</t>
  </si>
  <si>
    <t>Final Calculated Premium</t>
  </si>
  <si>
    <t>Note: options $1M or $2M only</t>
  </si>
  <si>
    <t>Note - options "Yes" or "No"</t>
  </si>
  <si>
    <t>Note - sewer / sump coverage options of $2.5k, $5k, $10k, $25k, or Total B&amp;C limit</t>
  </si>
  <si>
    <t>Note - base limit is $10K for coverages 8-29.  Can be increased to either $15K or $30K only</t>
  </si>
  <si>
    <t>Total Calculated Premiums</t>
  </si>
  <si>
    <t>Note - options are $2.5k or $5k</t>
  </si>
  <si>
    <t>Note - $1k coverage option only</t>
  </si>
  <si>
    <t>Claim Free - 3 years</t>
  </si>
  <si>
    <t>Note: Deductible options increase to $1000 or $2500</t>
  </si>
  <si>
    <t>Note: max total is $250K, $50K any one item.  Co-insurance @ 80%.  Schedule required</t>
  </si>
  <si>
    <t>Note: either included or not.  Limits $10k any location, $5k transit, $50k aggregate</t>
  </si>
  <si>
    <t>Note: $10K included automatically.  Only excess is charged.</t>
  </si>
  <si>
    <t>Limit Required</t>
  </si>
  <si>
    <t>Note - limit options are &lt;250K, $250K - $500K, $500K - $1M, $1M - $2M</t>
  </si>
  <si>
    <t>Earthquake Zone</t>
  </si>
  <si>
    <t>Cyber &amp; Data Compromise</t>
  </si>
  <si>
    <t>Note: Refer to Commonwell Underwriter</t>
  </si>
  <si>
    <t>Cyber Coverage</t>
  </si>
  <si>
    <t>Cyber Deductible</t>
  </si>
  <si>
    <t>Data Compromise Coverage</t>
  </si>
  <si>
    <t>Data Compromised Ded</t>
  </si>
  <si>
    <t>Cyber</t>
  </si>
  <si>
    <t>Data Compromise</t>
  </si>
  <si>
    <t>Note: Data compromise coverage either 1st party, or 1st &amp; 3rd party.</t>
  </si>
  <si>
    <t>Note: Data compromise coverage deductible options $1K, $2.5K, $5K, $10K</t>
  </si>
  <si>
    <t>Note: Cyber coverage deductibles $2.5K, $5K, $10K - and $2.5K not available for $100K coverage option</t>
  </si>
  <si>
    <t>Note: cyber coverage limits 2 options: $50K or $100K</t>
  </si>
  <si>
    <t>Total Calculated Cyber Premium</t>
  </si>
  <si>
    <t>Final Cyber Premium</t>
  </si>
  <si>
    <t>Buildings limit</t>
  </si>
  <si>
    <t>Business contents</t>
  </si>
  <si>
    <t>Stock</t>
  </si>
  <si>
    <t>Earthquake</t>
  </si>
  <si>
    <t>Equipment Breakdown</t>
  </si>
  <si>
    <t>Bylaws</t>
  </si>
  <si>
    <t>Debris Removal</t>
  </si>
  <si>
    <t>Power fluctuation coverage</t>
  </si>
  <si>
    <t>Amended Co-insurance clause</t>
  </si>
  <si>
    <t>Personal property of employees &amp; visitors</t>
  </si>
  <si>
    <t>Growing plants, trees, shrubs</t>
  </si>
  <si>
    <t>Brands &amp; labels</t>
  </si>
  <si>
    <t>Pollution damage - insured premises</t>
  </si>
  <si>
    <t>Data</t>
  </si>
  <si>
    <t>Media</t>
  </si>
  <si>
    <t>Building damage by theft</t>
  </si>
  <si>
    <t>Stock spoilage</t>
  </si>
  <si>
    <t>Glass &amp; signs</t>
  </si>
  <si>
    <t>Off premises contents</t>
  </si>
  <si>
    <t>Valuable papers and records</t>
  </si>
  <si>
    <t>Accounts receivable</t>
  </si>
  <si>
    <t>Extra expense</t>
  </si>
  <si>
    <t>Professional fees</t>
  </si>
  <si>
    <t>Fire departments expense</t>
  </si>
  <si>
    <t>Leasehold interest</t>
  </si>
  <si>
    <t>Contingent loss of income</t>
  </si>
  <si>
    <t>Master key</t>
  </si>
  <si>
    <t>Sales representative samples</t>
  </si>
  <si>
    <t>Exhibition floater</t>
  </si>
  <si>
    <t>Automatic Fire Suppression System recharge</t>
  </si>
  <si>
    <t>Retailers product impairment</t>
  </si>
  <si>
    <t>Work damage to stock</t>
  </si>
  <si>
    <t>Off premises utilities interruption</t>
  </si>
  <si>
    <t>Contractors Tools &amp; equipment rental expense</t>
  </si>
  <si>
    <t>Automatic coverage for new buildings and contents</t>
  </si>
  <si>
    <t>Peak season stock increase</t>
  </si>
  <si>
    <t>Automatic inflation protection</t>
  </si>
  <si>
    <t>Commercial General Liability</t>
  </si>
  <si>
    <t>Bodily Injury &amp; Property Damage</t>
  </si>
  <si>
    <t>Personal &amp; Advertising Injury</t>
  </si>
  <si>
    <t>Medical payments</t>
  </si>
  <si>
    <t>Tenants Legal Liability</t>
  </si>
  <si>
    <t>Non-owned Auto</t>
  </si>
  <si>
    <t>SEF 99</t>
  </si>
  <si>
    <t>OEF 98B</t>
  </si>
  <si>
    <t>SEF 94</t>
  </si>
  <si>
    <t>Additional property damage exclusion endorsement</t>
  </si>
  <si>
    <t>Completed Operations</t>
  </si>
  <si>
    <t>Pollution liability</t>
  </si>
  <si>
    <t>Excess / Umbrella liability</t>
  </si>
  <si>
    <t>Earthquake &amp; Flood Coverage</t>
  </si>
  <si>
    <t>Cyber &amp; Data Total</t>
  </si>
  <si>
    <t>Equipment Breakdown subtotal</t>
  </si>
  <si>
    <t>Equipment Breakdown Premium</t>
  </si>
  <si>
    <t>Total Calculated Equpiment Breakdown</t>
  </si>
  <si>
    <t>Final Equipment Breakdown Premium</t>
  </si>
  <si>
    <t>Flood</t>
  </si>
  <si>
    <t>Insurer</t>
  </si>
  <si>
    <t>Product</t>
  </si>
  <si>
    <t>Response</t>
  </si>
  <si>
    <t>Premium</t>
  </si>
  <si>
    <t>The Commonwell</t>
  </si>
  <si>
    <t>Contractors Package</t>
  </si>
  <si>
    <t>Response Reason</t>
  </si>
  <si>
    <t>Is this calculator going to quote, refer or decline?</t>
  </si>
  <si>
    <t>If refer or decline - what's the reason?</t>
  </si>
  <si>
    <t>Op1 Code</t>
  </si>
  <si>
    <t>Op1  Gross Revenues</t>
  </si>
  <si>
    <t>OP2 Gross Revenues</t>
  </si>
  <si>
    <t>OP3 Code</t>
  </si>
  <si>
    <t>OP3 Gross Revenues</t>
  </si>
  <si>
    <t>OP4 Code</t>
  </si>
  <si>
    <t>OP4 Gross Revenues</t>
  </si>
  <si>
    <t>OP5 Code</t>
  </si>
  <si>
    <t>OP5 Gross Revenues</t>
  </si>
  <si>
    <t>OP6 Code</t>
  </si>
  <si>
    <t>OP6 Gross Revenues</t>
  </si>
  <si>
    <t>OP7 Code</t>
  </si>
  <si>
    <t>OP7 Gross Revenues</t>
  </si>
  <si>
    <t>OP8 Code</t>
  </si>
  <si>
    <t>OP8 Gross Revenues</t>
  </si>
  <si>
    <t>OP9 Code</t>
  </si>
  <si>
    <t>OP9 Gross Revenues</t>
  </si>
  <si>
    <t>OP10 Code</t>
  </si>
  <si>
    <t>OP10 Gross Revenues</t>
  </si>
  <si>
    <t>Contents limit</t>
  </si>
  <si>
    <t>Tools limit</t>
  </si>
  <si>
    <t>Contractors Equipment Limit</t>
  </si>
  <si>
    <t>EQ Limit Requested</t>
  </si>
  <si>
    <t>EQ Limit</t>
  </si>
  <si>
    <t>EQ Zone</t>
  </si>
  <si>
    <t>Equipment Breakdown Limit</t>
  </si>
  <si>
    <t>Cyber coverage deductible</t>
  </si>
  <si>
    <t>Data compromise deductible</t>
  </si>
  <si>
    <t>OP2 Code</t>
  </si>
  <si>
    <t>Data compromise limit offered</t>
  </si>
  <si>
    <t>Data compromise coverage type</t>
  </si>
  <si>
    <t>Note: $5K contents automatically included.  Only rate above that</t>
  </si>
  <si>
    <t>Contents Limit Offered</t>
  </si>
  <si>
    <t>Acceptable operation #1</t>
  </si>
  <si>
    <t>Acceptable operation #2</t>
  </si>
  <si>
    <t>Acceptable operation #3</t>
  </si>
  <si>
    <t>Acceptable operation #4</t>
  </si>
  <si>
    <t>Acceptable operation #5</t>
  </si>
  <si>
    <t>Acceptable operation #6</t>
  </si>
  <si>
    <t>Acceptable operation #7</t>
  </si>
  <si>
    <t>Acceptable operation #8</t>
  </si>
  <si>
    <t>Acceptable operation #9</t>
  </si>
  <si>
    <t>Acceptable operation #10</t>
  </si>
  <si>
    <t>n</t>
  </si>
  <si>
    <t>Operation 1 20% commercial receipts</t>
  </si>
  <si>
    <t>Operation 7 20% commercial receipts</t>
  </si>
  <si>
    <t>Operation 2 20% commercial receipts</t>
  </si>
  <si>
    <t>Operation 3 20% commercial receipts</t>
  </si>
  <si>
    <t>Operation 4 20% commercial receipts</t>
  </si>
  <si>
    <t>Operation 5 20% commercial receipts</t>
  </si>
  <si>
    <t>Operation 6 20% commercial receipts</t>
  </si>
  <si>
    <t>Operation 8 20% commercial receipts</t>
  </si>
  <si>
    <t>Operation 9 20% commercial receipts</t>
  </si>
  <si>
    <t>Operation 10 20% commercial receipts</t>
  </si>
  <si>
    <t>Distance to FireHall</t>
  </si>
  <si>
    <t>1-8</t>
  </si>
  <si>
    <t>8+</t>
  </si>
  <si>
    <t>Distance from FireHall</t>
  </si>
  <si>
    <t>Distance from Fire hall</t>
  </si>
  <si>
    <t>Within 250M of Hydrant</t>
  </si>
  <si>
    <t>Within 300M of Fire hydrant</t>
  </si>
  <si>
    <t>In 300M of fire hydrant?</t>
  </si>
  <si>
    <t>Distance from Firehall</t>
  </si>
  <si>
    <t>Yes 1-8</t>
  </si>
  <si>
    <t>No 1-8</t>
  </si>
  <si>
    <t>Yes 8+</t>
  </si>
  <si>
    <t>No 8+</t>
  </si>
  <si>
    <t>Definitions from Commonwell</t>
  </si>
  <si>
    <t>Sent to Next Step</t>
  </si>
  <si>
    <t>Construction Type</t>
  </si>
  <si>
    <t>Fire resistive</t>
  </si>
  <si>
    <t>Masonry</t>
  </si>
  <si>
    <t>Frame</t>
  </si>
  <si>
    <t>Other</t>
  </si>
  <si>
    <t>Building construction</t>
  </si>
  <si>
    <r>
      <t>Tools Co-insurance -</t>
    </r>
    <r>
      <rPr>
        <i/>
        <sz val="11"/>
        <color theme="1"/>
        <rFont val="Calibri"/>
        <family val="2"/>
        <scheme val="minor"/>
      </rPr>
      <t xml:space="preserve"> set to default to no-coinsurance</t>
    </r>
  </si>
  <si>
    <t>Coinsuance Default</t>
  </si>
  <si>
    <t>Limit offered</t>
  </si>
  <si>
    <t>Crime coverage</t>
  </si>
  <si>
    <t>Equipment breakdown</t>
  </si>
  <si>
    <t>Rental income</t>
  </si>
  <si>
    <t>Property deductible</t>
  </si>
  <si>
    <t>Installation floater limit</t>
  </si>
  <si>
    <t>Contracts equipment limit</t>
  </si>
  <si>
    <t>Stock limit</t>
  </si>
  <si>
    <t>Basement?</t>
  </si>
  <si>
    <t>Within 250M of fire hydrant?</t>
  </si>
  <si>
    <t>Type of property</t>
  </si>
  <si>
    <t>Postalcode</t>
  </si>
  <si>
    <t>Property</t>
  </si>
  <si>
    <t>CGL Limit Requested</t>
  </si>
  <si>
    <t>Coverage Offered</t>
  </si>
  <si>
    <t>Total Premium</t>
  </si>
  <si>
    <t>% Ind</t>
  </si>
  <si>
    <t>% Comm</t>
  </si>
  <si>
    <t>% Res</t>
  </si>
  <si>
    <t>Revenue</t>
  </si>
  <si>
    <t>Quote Status?</t>
  </si>
  <si>
    <t>This is the info that will go back to Quotey as Commonwell's Response</t>
  </si>
  <si>
    <t>These are the Q&amp;A's that will come from Quotey</t>
  </si>
  <si>
    <t>Commonwell Response</t>
  </si>
  <si>
    <t>Client Details</t>
  </si>
  <si>
    <t>Quotey Test Sheet</t>
  </si>
  <si>
    <t>General</t>
  </si>
  <si>
    <t>Number of claims in last 5 years</t>
  </si>
  <si>
    <t>y</t>
  </si>
  <si>
    <t>OP1</t>
  </si>
  <si>
    <t>OP2</t>
  </si>
  <si>
    <t>OP3</t>
  </si>
  <si>
    <t>OP4</t>
  </si>
  <si>
    <t>OP5</t>
  </si>
  <si>
    <t>OP6</t>
  </si>
  <si>
    <t>OP7</t>
  </si>
  <si>
    <t>OP8</t>
  </si>
  <si>
    <t>OP9</t>
  </si>
  <si>
    <t>OP10</t>
  </si>
  <si>
    <t>Previous refusals, cancellations</t>
  </si>
  <si>
    <t>No</t>
  </si>
  <si>
    <t>Previous refusals</t>
  </si>
  <si>
    <t>Years relevant experience in trade</t>
  </si>
  <si>
    <t>Insured Postalcode</t>
  </si>
  <si>
    <t>Number of employees</t>
  </si>
  <si>
    <t>Number of Employees</t>
  </si>
  <si>
    <t>Any product sales, rentals?</t>
  </si>
  <si>
    <t>Commercial revenues</t>
  </si>
  <si>
    <t>Electric type</t>
  </si>
  <si>
    <t>Age of property</t>
  </si>
  <si>
    <t>Any element of vacant property?</t>
  </si>
  <si>
    <t>Heating type</t>
  </si>
  <si>
    <t>Auxillary heating in property?</t>
  </si>
  <si>
    <t>Business property to insure?</t>
  </si>
  <si>
    <t>Burglar alarm</t>
  </si>
  <si>
    <t>Circuit breakers</t>
  </si>
  <si>
    <t>Building value</t>
  </si>
  <si>
    <t>Designed for The Commonwell Use to test out scenarios and see instant responses.</t>
  </si>
  <si>
    <t>IndCode</t>
  </si>
  <si>
    <t>Operation Name</t>
  </si>
  <si>
    <t>Vertical</t>
  </si>
  <si>
    <t>Excavation</t>
  </si>
  <si>
    <t>Pile Driving</t>
  </si>
  <si>
    <t>Field Crops</t>
  </si>
  <si>
    <t>Agrigulcture, Farms &amp; Services</t>
  </si>
  <si>
    <t>Fruit, Treenut and Vegetable Farms</t>
  </si>
  <si>
    <t>Crops Under Cover - Not Greenhouses</t>
  </si>
  <si>
    <t>Crops Under Cover - Greenhouses</t>
  </si>
  <si>
    <t>Dairy Farms / Services</t>
  </si>
  <si>
    <t>Horse farms - Breeders</t>
  </si>
  <si>
    <t xml:space="preserve">Horse farms - No Breeding, Equestrian, Riding, Stable, Rental Boarding, Etc. </t>
  </si>
  <si>
    <t xml:space="preserve">Horse farms and Agricultural - Association; e.g. Horsemen's </t>
  </si>
  <si>
    <t>Agricultural Associations (Including Breeders)</t>
  </si>
  <si>
    <t>Membership Organizations</t>
  </si>
  <si>
    <t>Poultry including chick hatcheries</t>
  </si>
  <si>
    <t>Beef Cattle</t>
  </si>
  <si>
    <t>Hog (farms)</t>
  </si>
  <si>
    <t>General N.O.C.</t>
  </si>
  <si>
    <t>Tobacco (farm)</t>
  </si>
  <si>
    <t>Fur</t>
  </si>
  <si>
    <t>Scientific Instruments N.O.C.</t>
  </si>
  <si>
    <t>Manufacturing &amp; Processing</t>
  </si>
  <si>
    <t>Peat Plants</t>
  </si>
  <si>
    <t>Agricultural, Horticultural Services N.O.C.</t>
  </si>
  <si>
    <t>Agricultural Machinery Operation for Others</t>
  </si>
  <si>
    <t>Custom Farming - Farming operations for another for a change, away from the Named Insured's own farm</t>
  </si>
  <si>
    <t>Crop / Weed Spraying or Fertilizing</t>
  </si>
  <si>
    <t>Weed Spraying or Fertilizing</t>
  </si>
  <si>
    <t>Business &amp; Personal Services</t>
  </si>
  <si>
    <t>Nurserymen or Florist (Store - use 5993)</t>
  </si>
  <si>
    <t>Gardening for Others (Landscape / Landscaping)</t>
  </si>
  <si>
    <t>Contractor</t>
  </si>
  <si>
    <t>Gardening for Others (no snow removal, weed spraying or tree removal)</t>
  </si>
  <si>
    <t>Tree Removal, Trimming, Pruning</t>
  </si>
  <si>
    <t>Veterinarians incl. Veterinary Hospitals</t>
  </si>
  <si>
    <t>Veterenarian</t>
  </si>
  <si>
    <t>Kennels incl. Boarding of Household Pets</t>
  </si>
  <si>
    <t>Personal Services</t>
  </si>
  <si>
    <t>Pet Sitting and Walking (No exotic animals)</t>
  </si>
  <si>
    <t>Livestock Commision Merchant, Livestock or Cattle Dealer (No Physical Pessession of Animals)</t>
  </si>
  <si>
    <t>Livestock Commission Merchant, Livestock or Cattle Dealer.  No Physical Possession of Animals. ( - See Agricultural and Farming Section)</t>
  </si>
  <si>
    <t>Livestock or Cattle Dealer, Includes Sales Stables</t>
  </si>
  <si>
    <t>Livestock or Cattle Dealer, includes Sales Stables ( - See Agricultural and Farming Section)</t>
  </si>
  <si>
    <t>Logging/Lumbering Operations (Woods Operations)</t>
  </si>
  <si>
    <t>Logging &amp; Lumbering</t>
  </si>
  <si>
    <t>Forest Fire Prevention Act</t>
  </si>
  <si>
    <t>Fish Hatcheries</t>
  </si>
  <si>
    <t>Fishing, Hunting, Trapping</t>
  </si>
  <si>
    <t>Fishing, Hunting, Trapping and Such  Services</t>
  </si>
  <si>
    <t xml:space="preserve">Metal </t>
  </si>
  <si>
    <t>Mining</t>
  </si>
  <si>
    <t>Metal Mining Prospecting</t>
  </si>
  <si>
    <t>Coal - Underground</t>
  </si>
  <si>
    <t>Coal - Surface</t>
  </si>
  <si>
    <t>National Scale Oil (Energy) Cos. (Wellhead to Consumer)</t>
  </si>
  <si>
    <t>Oil &amp; Gas Production</t>
  </si>
  <si>
    <t>Well Producing Operations; Rating requires full information regarding:  a) Location of operations. b) Number of wells operated. c) Loss experience. d) Area of property on which wells are located. e) Whether P.D. is to be subject to the Damage to Underground Property Exclusion</t>
  </si>
  <si>
    <t>Well Development Incl. Drilling; Rating requires full information regarding:  a) Location of operations.  b) Number of rigs.  c) Estimated payroll.  d) Whether P.D. is to be subject to an exclusion of liability arising out of the hazards of blowout, cratering and explosion.  e) Whether P.D. is to be subject to the Damage to Underground Property Exclusion</t>
  </si>
  <si>
    <t>Well Servicing; Rating requires full information regarding: a) Location of operations.  b) Estimated payroll.  c) Whether the operations include cleaning, swabbing, and waxing.  d) Whether the operations include well shooting and gun perforating. e) Whether P.D. is to be subject to the Damage to Underground Property Exclusion.</t>
  </si>
  <si>
    <t>Well Supplies and Equipment Dealer; Including incidental repairing or reconditioning but excluding installation, erection, dismantling or salvage operations.</t>
  </si>
  <si>
    <t xml:space="preserve">Pipeline and Pumping Operation             </t>
  </si>
  <si>
    <t>Geologists, Seismic Exploration</t>
  </si>
  <si>
    <t>Welders, Field</t>
  </si>
  <si>
    <t>Asbestos</t>
  </si>
  <si>
    <t>Quarrying - Sand and Gravel</t>
  </si>
  <si>
    <t>Quarrying - N.O.C.    Incl. Crushing, Lime; Manufacturing, Slate Splitting</t>
  </si>
  <si>
    <t>Quarrying - Underground Mining N.O.C.</t>
  </si>
  <si>
    <t>Building Raising, Moving</t>
  </si>
  <si>
    <t>Wrecking, Demolition N.O.C.</t>
  </si>
  <si>
    <t>Underpinning of Buildings</t>
  </si>
  <si>
    <t>Blasting Contractors</t>
  </si>
  <si>
    <t>Blasting Contractors - Low Hazard</t>
  </si>
  <si>
    <t>Blasting Contractors - Medium Hazard</t>
  </si>
  <si>
    <t>Blasting Contractors - High Hazard</t>
  </si>
  <si>
    <t>Driveways, Parking Areas, Construction of</t>
  </si>
  <si>
    <t>Fences, Construction of - not electric</t>
  </si>
  <si>
    <t>Fences, Construction of - electric</t>
  </si>
  <si>
    <t>Sidewalks N.O.C., Construction of</t>
  </si>
  <si>
    <t>Irrigation or Drainage Systems, Construction of</t>
  </si>
  <si>
    <t>Snow Removal, Clearing or Ploughing</t>
  </si>
  <si>
    <t>Grading of Land - Not Road Construction or Excavation</t>
  </si>
  <si>
    <t>Cleaning Sewers, Drains</t>
  </si>
  <si>
    <t>Cleaning Streets - Not Snow Removal</t>
  </si>
  <si>
    <t>Conveyor Systems</t>
  </si>
  <si>
    <t>Sign installation and repair</t>
  </si>
  <si>
    <t>Tanks</t>
  </si>
  <si>
    <t>Television (TV) Antennae</t>
  </si>
  <si>
    <t>Glazier Operations</t>
  </si>
  <si>
    <t>Machinery, Industrial (Millwright)</t>
  </si>
  <si>
    <t>Machinery, Agricultural</t>
  </si>
  <si>
    <t>Bridges</t>
  </si>
  <si>
    <t>Caissons, Coffer Dams</t>
  </si>
  <si>
    <t>Jetties, Breakwaters, Piers, Docks, Levees</t>
  </si>
  <si>
    <t>Dredging</t>
  </si>
  <si>
    <t>Dams, Reservoirs including Hydro-Electric Const.</t>
  </si>
  <si>
    <t>Highway, Street, Road including Paving, Resurfacing</t>
  </si>
  <si>
    <t>Highway, Street, Road Construction incl. reconstruction, clearing rights  of way, grading of land, excavation and  backfilling incidental thereto</t>
  </si>
  <si>
    <t>Highway, Street, Road Paving, Surfacing or Scraping</t>
  </si>
  <si>
    <t>Airport Runways, Aprons including Paving</t>
  </si>
  <si>
    <t>Pipelines</t>
  </si>
  <si>
    <t>Railroads</t>
  </si>
  <si>
    <t>Subways, Tunnels</t>
  </si>
  <si>
    <t>Gas Mains</t>
  </si>
  <si>
    <t>Sewer, Water Mains, Steam Mains</t>
  </si>
  <si>
    <t>Shaft Sinking</t>
  </si>
  <si>
    <t>Plumbing, Including Hot Tubs</t>
  </si>
  <si>
    <t>Boilers</t>
  </si>
  <si>
    <t>Steam Fitters</t>
  </si>
  <si>
    <t>Automatic Sprinklers</t>
  </si>
  <si>
    <t>Heating Equipment and Combined Air Conditioning (HVAC) - Oil or Gas</t>
  </si>
  <si>
    <t>Heating Equipment and Combined Air Conditioning (HVAC) - Solid Fuel</t>
  </si>
  <si>
    <t>Air Conditioning Incl. Heat Pumps</t>
  </si>
  <si>
    <t>Air Conditioning Equipment including Heat Pumps - Commercial</t>
  </si>
  <si>
    <t>Air Conditioning Equipment including Heat Pumps - Residential</t>
  </si>
  <si>
    <t>Refrigeration, Commercial</t>
  </si>
  <si>
    <t>Solar Energy Contractors</t>
  </si>
  <si>
    <t>Solar Energy Contractors - Residential &amp; Commercial</t>
  </si>
  <si>
    <t>Water Softening or Treatment Equipment, including Installation</t>
  </si>
  <si>
    <t>Cable Television &amp; Data Cable Installation - Residential</t>
  </si>
  <si>
    <t>Wiring including Fixtures, Appliances - Residential</t>
  </si>
  <si>
    <t>Electrical wiring contractor - Residential / Light Commercial (no alarm installation or industrial work)</t>
  </si>
  <si>
    <t>Light, Telephone, Power Lines etc.</t>
  </si>
  <si>
    <t>Cable, telephone installation - excluding hydro line installation.</t>
  </si>
  <si>
    <t>Underground Cable or Conduit including Incidental Excavation</t>
  </si>
  <si>
    <t>Underground Cable or Conduit excluding Excavation</t>
  </si>
  <si>
    <t>Elevator, Escalator Installation/Service</t>
  </si>
  <si>
    <t>Elevators including Operation</t>
  </si>
  <si>
    <t>Elevators, Escalators - Instal./Service</t>
  </si>
  <si>
    <t>Electrical Apparatus</t>
  </si>
  <si>
    <t>Electrical appliance and equipment installation (no industrial equipment or machines)</t>
  </si>
  <si>
    <t>Cement, Concrete Work N.O.C.</t>
  </si>
  <si>
    <t>Contrete, Precast Beams and supports</t>
  </si>
  <si>
    <t>Masonry including Bricklaying, Stonework, Tile, Marble, Mosaic, Stuccoing</t>
  </si>
  <si>
    <t>Plastering, Lathing including Drywall &amp; Stucco</t>
  </si>
  <si>
    <t>Tilework - Not masonry, Sewers, Drains, Ceiling; Terrazzo</t>
  </si>
  <si>
    <t>Carpentry and woodworkers - Shop Operations</t>
  </si>
  <si>
    <t>Carpentry and woodworkers, framing, trimming, cabinets, deck, fench and patio construction - Away from Shop</t>
  </si>
  <si>
    <t>Insulation of Buildings</t>
  </si>
  <si>
    <t>Insulation Removal Hazardous (See Code 1782)</t>
  </si>
  <si>
    <t>Painting, Decorating, Paper Hanging excluding spray paint</t>
  </si>
  <si>
    <t>Painting, Decorating including spray paint</t>
  </si>
  <si>
    <t>House Furnishings, Acoustic Ceilings, Floor Coverings Installation</t>
  </si>
  <si>
    <t>House Furnishings, Acoustic Ceilings, Floor Coverings</t>
  </si>
  <si>
    <t>Accoustic ceiling installation</t>
  </si>
  <si>
    <t>Blinds and Curtains installation</t>
  </si>
  <si>
    <t>Floor Coverage installation</t>
  </si>
  <si>
    <t>Home funishings installation</t>
  </si>
  <si>
    <t>Interior Decorator - consultant including installation, construction and renovations</t>
  </si>
  <si>
    <t>House Staging</t>
  </si>
  <si>
    <t>Interior decorator (no installation, construction or renovations)</t>
  </si>
  <si>
    <t>Sheet Metal, Tinsmith - Shop Only</t>
  </si>
  <si>
    <t>Sheet Metal, Tinsmith - Away from Shop</t>
  </si>
  <si>
    <t>Duct installation &amp; fabrication (no welding away from own premises)</t>
  </si>
  <si>
    <t>Eavestrough installation - 5 storeys or less</t>
  </si>
  <si>
    <t>Siding installation - 5 storeys or less</t>
  </si>
  <si>
    <t>Welding, Cutting, Brazing</t>
  </si>
  <si>
    <t>Erection of Iron ot Steel Structural</t>
  </si>
  <si>
    <t>Erection of Iron ot Steel N.O.C.</t>
  </si>
  <si>
    <t>Metal Doors, Windows, Awnings</t>
  </si>
  <si>
    <t>Drilling, Not Oil or Gas</t>
  </si>
  <si>
    <t>Drilling not Oil or Gas - Water</t>
  </si>
  <si>
    <t>Drilling not Oil or Gas - Other</t>
  </si>
  <si>
    <t>Stevedoring</t>
  </si>
  <si>
    <t>Shipwright Operations</t>
  </si>
  <si>
    <t>Marine Wrecking or Demolition</t>
  </si>
  <si>
    <t>Excavation - No Blasting or Demolition</t>
  </si>
  <si>
    <t>Roofing -Residential (shingle) – excluding all hot roof application processes</t>
  </si>
  <si>
    <t>Residential Roofing</t>
  </si>
  <si>
    <t>Commercial Roofing (incl. hot tar)</t>
  </si>
  <si>
    <t>Roofing-Other (hot tar, etc.)</t>
  </si>
  <si>
    <t>Waterproofing Operations</t>
  </si>
  <si>
    <t>Septic Tank Installation, Service, Repair</t>
  </si>
  <si>
    <t>Cistern Installation, Service and Repair</t>
  </si>
  <si>
    <t>Building Cleaning - Exterior</t>
  </si>
  <si>
    <t>Fireproofing - Structures</t>
  </si>
  <si>
    <t>Fire Extinguishing Equipment, Servicing, Refilling</t>
  </si>
  <si>
    <t>Asbestos, Lead, UFI Abatement, Radon Mitigation, Tank Remediation</t>
  </si>
  <si>
    <t>Non-Destructive Testing Contractors</t>
  </si>
  <si>
    <t>Building Construction - including Alteration, Renovation or Repair thereof  One or Two Family Dwellings</t>
  </si>
  <si>
    <t>Residential - One or Two Family Dwellings - New Construction</t>
  </si>
  <si>
    <t>Residential - One or Two Family Dwellings - Alteration, Renovations &amp; Additions.</t>
  </si>
  <si>
    <t>Residential - Handyman / General labourer - light repair, maintenance &amp; interior renovations</t>
  </si>
  <si>
    <t>General Contractors, Building Construction - including Alteration,Renovation or Repair  thereof  Residential - N.O.C. - incl. Apartments &amp; Townhouses</t>
  </si>
  <si>
    <t>Mobile Homes, Prefabricated Housing - Shop Operations</t>
  </si>
  <si>
    <t>Mobile Homes, Prefabricated Housing - Away from Shop (Site)</t>
  </si>
  <si>
    <t>Building Construction - Including Alteration, Renovation or Repair thereof - Not Residential</t>
  </si>
  <si>
    <t>Building construction - New Commercial / Industrial</t>
  </si>
  <si>
    <t>Building renovations - office and retail</t>
  </si>
  <si>
    <t>Building renovations and additions - commercial</t>
  </si>
  <si>
    <t>Swimming Pools, Installation</t>
  </si>
  <si>
    <t>Vacant and Idle Buildings</t>
  </si>
  <si>
    <t xml:space="preserve">Vacant Land                     </t>
  </si>
  <si>
    <t>Food &amp; Beverage; Products for Human Consumption-  Meat Packers - No Stockyards, Excluding Frozen Foods, Rendering</t>
  </si>
  <si>
    <t>Food &amp; Beverage; Products for Human Consumption- Meat Packers - With Stockyards, Excluding Frozen Foods, Rendering</t>
  </si>
  <si>
    <t>Food &amp; Beverage; Products for Human Consumption- Fish Processing (Fresh)</t>
  </si>
  <si>
    <t>Food &amp; Beverage; Products for Human Consumption- Dairy Products Incl. Eggs, Honey, Creameries</t>
  </si>
  <si>
    <t>Food &amp; Beverage; Products for Human Consumption - Frozen  Food Processing (Meat, Fish, Seafood, Fruit, Vegetables)</t>
  </si>
  <si>
    <t>Food &amp; Beverage; Products for Human Consumption- Ice</t>
  </si>
  <si>
    <t>Food &amp; Beverage; Products for Human Consumption- Canning,  Preserving (Meat, Fish, Seafood, Fruit, Vegetables), Jams</t>
  </si>
  <si>
    <t>Animal Feed - Pet Foods (classify as if for Human Consumption)</t>
  </si>
  <si>
    <t>Food &amp; Beverage; Products for Human Consumption- Grain and Grain Products</t>
  </si>
  <si>
    <t>Food &amp; Beverage; Products for Human Consumption- Coffee, Tea, Spice Processing</t>
  </si>
  <si>
    <t>Seed Processor and Merchants; Excludes Seedmans Errors and Omissions</t>
  </si>
  <si>
    <t>Food &amp; Beverage; Products for Human Consumption- Bakeries Incl. Pasta Mfg.</t>
  </si>
  <si>
    <t>Food &amp; Beverage; Products for Human Consumption- Confectionery, Cocoa and Chocolate</t>
  </si>
  <si>
    <t>Food &amp; Beverage; Products for Human Consumption- Sugar, Syrup, Molasses Refineries</t>
  </si>
  <si>
    <t>Food &amp; Beverage; Products for Human Consumption- Distillers - Liquor, Alcohol</t>
  </si>
  <si>
    <t>Food &amp; Beverage; Products for Human Consumption- Brewers, Wineries, Malt Houses, Vinegar Distilling</t>
  </si>
  <si>
    <t>Food &amp; Beverage; Products for Human Consumption- Soft Drinks, Water, Other Non-Alcoholic Beverages</t>
  </si>
  <si>
    <t>Food &amp; Beverage; Products for Human Consumption- Oil &amp; Fat Mfg. (Animal or Vegetable), Incl. Tank Farm, Animal Reduction, Lard Refining</t>
  </si>
  <si>
    <t>Refining Animal and Vegetable Oils &amp; Fats Including Tank Farm, Animal Reduction, Lard Refining</t>
  </si>
  <si>
    <t>Food &amp; Beverage; Products for Human Consumption- Meat, Poultry Rendering, Fish Oil, Fish Meal Mfg.</t>
  </si>
  <si>
    <t>Food &amp; Beverage; Products for Human Consumption- Tobacco Products</t>
  </si>
  <si>
    <t>Fabric and Textile Mills, Knitting, Spinning, Weaving - Acetate, Celanese, Cotton, Felt, Linens, Rayon, Twine</t>
  </si>
  <si>
    <t>Fabric and Textile Mills, Knitting, Spinning, Weaving - Other Fibres</t>
  </si>
  <si>
    <t>Carpet &amp; Rug Mfg.</t>
  </si>
  <si>
    <t>Men's &amp; Boy's Clothing not 2311, 2331</t>
  </si>
  <si>
    <t>Clothing- Hats, Underwear, Gloves, Beachwear, Accessories (Mens and Boys)</t>
  </si>
  <si>
    <t>Clothing- Women's &amp; Girl's Apparel N.O.C. - not 2331, 2332; (incl. Synthethic Furs, Suits, Dresses)</t>
  </si>
  <si>
    <t>Clothing- Furs, Pelts or articles thereof</t>
  </si>
  <si>
    <t>Clothing- Millinery, Lingerie, Gloves, Beachwear, Accessories  (Womens and Girls)</t>
  </si>
  <si>
    <t>Draperies, Tapestries</t>
  </si>
  <si>
    <t>Canvas, Awnings, Burlap Bags, Ropes, Tents, Sails, Cloth Goods N.O.C.  - not Clothing or Draperies</t>
  </si>
  <si>
    <t>Tent Erection, Removal, Repair (off Premises)</t>
  </si>
  <si>
    <t>Sawmills, Plywood, Veneer and Planing Mills; excluding Logging &amp; Lumbering</t>
  </si>
  <si>
    <t>Wood Products Mfg., Woodworking Shops N.O.C.;  Not Boats; Boxes, etc.; Furniture; Wood Preserving, Dry Kilns; Sawmills; Plywood, Veneer &amp; Planing Mills</t>
  </si>
  <si>
    <t>Wood Preserving, Dry Kilns</t>
  </si>
  <si>
    <t>Boxes, Barrels, Crates, Pallets - Wooden</t>
  </si>
  <si>
    <t>Furniture Not Upholstered- Wood, Wicker, Rattan</t>
  </si>
  <si>
    <t>Wood Boats  (Excluding operation and testing away from Insured's premises.)  See 3591 &amp; 3730</t>
  </si>
  <si>
    <t>Roof Timbers</t>
  </si>
  <si>
    <t>Upholstered Furniture</t>
  </si>
  <si>
    <t>Mattress, Pillows, Cushion, Bedding, Quilt Mfg.</t>
  </si>
  <si>
    <t>Pulp &amp; Paper Mills, excluding Lumbering</t>
  </si>
  <si>
    <t>Paper Converting</t>
  </si>
  <si>
    <t>Paper Products Incl. Bags, Boxes, Containers</t>
  </si>
  <si>
    <t>Stationary</t>
  </si>
  <si>
    <t>Newspaper and Magazine Publishing &amp; Printing; Personal Injury coverage for Publishers -  Refer to Company</t>
  </si>
  <si>
    <t>Printing &amp; Publishing including  Electrotyping, Typesetting, Photo Engraving, Book Binding, Silkscreening  (Not Newspapers or Magazines)</t>
  </si>
  <si>
    <t>Acids, Petrochemicals, Chemicals N.O.C.; incl. Ammonia, Antifreeze, Benzoil</t>
  </si>
  <si>
    <t>Gases -Incombustible Industrial Gases  (Argon, Helium, C02)</t>
  </si>
  <si>
    <t>Gases -Other including Halon</t>
  </si>
  <si>
    <t>Pesticides, Herbicides, Insecticides</t>
  </si>
  <si>
    <t>Paint, Varnish, Lacquer</t>
  </si>
  <si>
    <t>Printer's Ink, Aniline Dyes and Pigments</t>
  </si>
  <si>
    <t>Radioactive Isotopes</t>
  </si>
  <si>
    <t>Plastics, Synthetic Resins &amp; Fibres N.O.C.  (Acrilan, Glass Fibre, Nylon, Rayon, Artificial Silk)</t>
  </si>
  <si>
    <t>Cosmetics, Perfumes, Hair, Skin Preparations</t>
  </si>
  <si>
    <t>Drugs, Pharmaceuticals, Patent Medicines Low Hazard</t>
  </si>
  <si>
    <t>Drugs, Pharmaceuticals, Patent Medicines Medium Hazard</t>
  </si>
  <si>
    <t>Drugs, Pharmaceuticals, Patent Medicines High Hazard</t>
  </si>
  <si>
    <t>Soap, Soap Powder, Detergent, Shampoo Mfg.</t>
  </si>
  <si>
    <t>Explosives, Ammunition</t>
  </si>
  <si>
    <t>Fertilizer - using Ammonium Nitrate or chemicals</t>
  </si>
  <si>
    <t>Fireworks, excluding Fireworks displays</t>
  </si>
  <si>
    <t>Matches</t>
  </si>
  <si>
    <t>Adhesives, Glue, Mucilage &amp; Paste</t>
  </si>
  <si>
    <t>Borax, Phosphate, Salt, Sulfur Refining, Potash Work; Excluding Mining</t>
  </si>
  <si>
    <t>Chemicals N.O.C. Low Hazard</t>
  </si>
  <si>
    <t>Chemicals N.O.C. Medium Hazard</t>
  </si>
  <si>
    <t>Chemicals N.O.C. High Hazard</t>
  </si>
  <si>
    <t>Asphalt &amp; Tar Incl. Roofing Products, Linoleum</t>
  </si>
  <si>
    <t>Mineral Oil, Lubricants, Petrochemical Including Asphalt &amp; Tar Refining</t>
  </si>
  <si>
    <t>Coal Billets &amp; Briquettes, Coke</t>
  </si>
  <si>
    <t>Wax Products Incl. Polishes, Dressings, Waxes, Candles</t>
  </si>
  <si>
    <t>Rubber Reclaiming</t>
  </si>
  <si>
    <t>Tires and Tubes Excl. Retreading</t>
  </si>
  <si>
    <t>Rubber Goods Excl. Tires and Tubes -  Low, Non-Combustible</t>
  </si>
  <si>
    <t>Rubber Goods Excl. Tires and Tubes -  Medium Combustibility, Free Burning</t>
  </si>
  <si>
    <t>Rubber Goods Excl. Tires and Tubes -  High, Rapid Burning</t>
  </si>
  <si>
    <t>Signs - Plastic</t>
  </si>
  <si>
    <t>Film (Photographic, x-ray, Other),  Recording Media, Compact Discs</t>
  </si>
  <si>
    <t>Plastic, Bone, Celluloid &amp; Shell Products othen than Signs -   Not Film, Recording Media, Compact Discs</t>
  </si>
  <si>
    <t>Tanneries</t>
  </si>
  <si>
    <t>Clothing - Leather (Not Tannery) Excl. Footwear</t>
  </si>
  <si>
    <t>Clothing - Footwear</t>
  </si>
  <si>
    <t>China, Ceramics, Porcelain, Plaster Statuary, Ornaments, Glass (not Building Glass)</t>
  </si>
  <si>
    <t>Glassware Mfg.</t>
  </si>
  <si>
    <t>Cement and Concrete, Plaster Products; Excluding Ready-Mix  Concrete Excluding mining and quarrying</t>
  </si>
  <si>
    <t>Concrete, Ready Mix</t>
  </si>
  <si>
    <t>Brick, Clay, similar Refractory Products -  Excluding mining and quarrying</t>
  </si>
  <si>
    <t>Concrete, Precast Beam or Support for Construction</t>
  </si>
  <si>
    <t>Slate Milling and Cutting, Stone Polishing, Grinding Operations, Monuments (Carborundum, emery, flint, slate, spar, grinding and milling operations, excluding quarrying and mining.)</t>
  </si>
  <si>
    <t>Soapstone and its Products, Talc</t>
  </si>
  <si>
    <t>Abrasives</t>
  </si>
  <si>
    <t>Asbestos, Asbestos Product Mfg.</t>
  </si>
  <si>
    <t>Metal Works or Foundries - Primary Ferrous</t>
  </si>
  <si>
    <t>Metal Works or Foundries - Primary Non-ferrous</t>
  </si>
  <si>
    <t>Radio, Television, Audio, Video Equipment</t>
  </si>
  <si>
    <t>Computers - Home and Personal, Business Machines, Calculators</t>
  </si>
  <si>
    <t>Computer Systems-Large or Mainframe; Including Tape Drives, etc.</t>
  </si>
  <si>
    <t>Communications Equipment  N.O.C.; Excluding Media; (see Radio, Television, Audio, Video)</t>
  </si>
  <si>
    <t>Electronic Components &amp; Semi-Conductors; Note: Rate should reflect end of use</t>
  </si>
  <si>
    <t>Electronic games</t>
  </si>
  <si>
    <t>Other Electrical Products Not Heating, Air Conditioning, Refrigeration Equipment or Household Appliances, Vending Machines or Electronic</t>
  </si>
  <si>
    <t>Electrical Products -For Application to Body. Not Heating,  Air Conditioning, Refrigeration Equipment or Household Appliances, Vending Machines or Electronic</t>
  </si>
  <si>
    <t>Heating Equipment - Electrical</t>
  </si>
  <si>
    <t>Household Appliances and Vending Machines</t>
  </si>
  <si>
    <t>Refrigeration Equipment - Industrial</t>
  </si>
  <si>
    <t>Air Conditioning Equipment - incl. Heat Pumps</t>
  </si>
  <si>
    <t>Alarm Systems - Fire</t>
  </si>
  <si>
    <t>Alarm Systems - Burglary</t>
  </si>
  <si>
    <t>Metal Products (Non-Electrical) Light N.O.C.;  Not Boats, Furniture, Heating Apparatus, Houseware, Plumbing Supplies, Signs or Electroplating</t>
  </si>
  <si>
    <t>Boats  -  Metal Excluding operation and testing away from Insured's premises. See 2494 &amp; 3730</t>
  </si>
  <si>
    <t>Furniture - Not Upholstered</t>
  </si>
  <si>
    <t>Heating Apparatus Furnaces, Space heaters and similar equipment including components other than  plumbing and sheet metal.</t>
  </si>
  <si>
    <t>Housewares Incl. Cutlery</t>
  </si>
  <si>
    <t>Plumbing Supplies</t>
  </si>
  <si>
    <t>Signs  - Excluding Fluorescent and Neon</t>
  </si>
  <si>
    <t>Electro-plating</t>
  </si>
  <si>
    <t>Metal Products (Non Electrical) Heavy N.O.C. Not Boilers,  Pressure Vessels, Machinery, Elevators or Escalators</t>
  </si>
  <si>
    <t>Boilers and Pressure Vessels</t>
  </si>
  <si>
    <t>Elevators and Escalators</t>
  </si>
  <si>
    <t>Machinery - Agricultural</t>
  </si>
  <si>
    <t>Machinery - Other N.O.C.</t>
  </si>
  <si>
    <t>Boats  -  Not Wood or Metal  Excluding operation and testing away from Insured's premises. See 2494 &amp; 3591</t>
  </si>
  <si>
    <t>Bicycles</t>
  </si>
  <si>
    <t>Transportation Equipment Manufacturing N.O.C.</t>
  </si>
  <si>
    <t>Automobiles, Trucks, Buses</t>
  </si>
  <si>
    <t>Motorcycles, Mopeds, Snow Vehicles</t>
  </si>
  <si>
    <t>Trailers, Camper Units</t>
  </si>
  <si>
    <t>Automobile- Wheel Assembly,  Brakes or  Steering Parts</t>
  </si>
  <si>
    <t>Automobile- Operating Parts N.O.C.</t>
  </si>
  <si>
    <t>Automobile- Body Parts, Accessories, Non-Operating Parts</t>
  </si>
  <si>
    <t>Aircraft and components</t>
  </si>
  <si>
    <t>Shipbuilding, Dry Dock</t>
  </si>
  <si>
    <t>Railway Rolling Stock Incl. Locomotives</t>
  </si>
  <si>
    <t>Precision Equipment - N.O.C. Not Cameras, Optical Drafting, Prosthetic Devices or Scientific Instruments</t>
  </si>
  <si>
    <t>Cameras, Enlargers and Photographic Equipment; Excluding Film and Chemicals</t>
  </si>
  <si>
    <t>Optical (Binoculars, Eyeglasses, Microscopes,etc.)</t>
  </si>
  <si>
    <t>Contact Lenses/ Protective Eyeware  Excl. Optician, Optometrist Operations or Malpractice arising out of dispensing</t>
  </si>
  <si>
    <t>Drafting, Engineering, Machinist, Surveying Instruments</t>
  </si>
  <si>
    <t>Prosthetic, Orthopedic, Ambulation Devices other than Optical</t>
  </si>
  <si>
    <t>Scientific Instruments Electronic - No application to the Body application to the Body, see medical products</t>
  </si>
  <si>
    <t>Expendable Medical, Dental, Hospital, Surgical Equipment or Supplies</t>
  </si>
  <si>
    <t>Non-Expendable Medical, Dental, Hospital, Surgical Equipment or Supplies</t>
  </si>
  <si>
    <t>Diagnostics Medical, Dental, Hospital, Surgical Equipment Supplies</t>
  </si>
  <si>
    <t>Instruments Medical, Dental, Hospital, Surgical Equipment or Supplies</t>
  </si>
  <si>
    <t>Clocks</t>
  </si>
  <si>
    <t>Costume &amp; Novelty Jewelry only ($50 limit/article)</t>
  </si>
  <si>
    <t>Jewelry, Watches, Precious Stones, Silversmiths, Gold/Silver Platers</t>
  </si>
  <si>
    <t>Multiple Occupancy   - Manufacturing   -  Tenant</t>
  </si>
  <si>
    <t>Multiple Occupancy   - Manufacturing   -  Condo</t>
  </si>
  <si>
    <t>Broom &amp; Brush, Mop</t>
  </si>
  <si>
    <t>Excelsior Mfg.</t>
  </si>
  <si>
    <t>Artificial Flowers</t>
  </si>
  <si>
    <t>Musical Instruments</t>
  </si>
  <si>
    <t>Notions</t>
  </si>
  <si>
    <t>Paintings and Pictures</t>
  </si>
  <si>
    <t>Recreational Products (Handicraft, Hobby) N.O.C.  (Not Athletic Equipment, Sporting Goods, Toys)</t>
  </si>
  <si>
    <t>Athletic Protective Equipment - Low to Moderate Hazard</t>
  </si>
  <si>
    <t>Athletic Protective Equipment - High Hazard</t>
  </si>
  <si>
    <t>Firearms Including testing of arms and ammunition</t>
  </si>
  <si>
    <t>Sporting Goods Excl. Firearms, Athletic Protective Equipment</t>
  </si>
  <si>
    <t>Toys, Hobby &amp; Handicraft Equipment, Artist Supplies</t>
  </si>
  <si>
    <t>Multiple Occupancy   - Industrial Plaza  -  Tenant</t>
  </si>
  <si>
    <t>Multiple Occupancy   - Industrial Plaza  -  Condo</t>
  </si>
  <si>
    <t>Railroad Operations</t>
  </si>
  <si>
    <t>Transportation Services</t>
  </si>
  <si>
    <t>Armoured Cars</t>
  </si>
  <si>
    <t>Bus, Streetcar, Subway (excl 4119)</t>
  </si>
  <si>
    <t>Bus Terminal excl. Garage</t>
  </si>
  <si>
    <t>Highway, Bridge, Tunnel Operation</t>
  </si>
  <si>
    <t>Taxis, Liveries, Ambulances</t>
  </si>
  <si>
    <t xml:space="preserve">Teams Incl. Delivery, Sightseeing    </t>
  </si>
  <si>
    <t>Truckmen (Hauling for Others) excl. Storage Warehousing Operations</t>
  </si>
  <si>
    <t>Courier Service, Letter Service</t>
  </si>
  <si>
    <t>School Bus, Handicapped, and Charter Transport</t>
  </si>
  <si>
    <t>Air Terminal, Air Transportation Services</t>
  </si>
  <si>
    <t>Grain Elevator -Terminal</t>
  </si>
  <si>
    <t>Warehousing - Property of Others</t>
  </si>
  <si>
    <t>Grain Elevator -Country</t>
  </si>
  <si>
    <t>Grain Elevator -Seed, Bean</t>
  </si>
  <si>
    <t>Tobacco</t>
  </si>
  <si>
    <t>Farm Products</t>
  </si>
  <si>
    <t>Refrigerated (Cold Storage Lockers)</t>
  </si>
  <si>
    <t xml:space="preserve">Household Goods -Public Rental Units             </t>
  </si>
  <si>
    <t>Household Goods -Other - Storage Only</t>
  </si>
  <si>
    <t>Household Goods -Storage, Moving, Handling, Packing</t>
  </si>
  <si>
    <t>General Merchandise N.O.C. - Storage Only;  No Fibres, Oils, Petrochemicals, Rags,Fireworks, Matches, Explosives</t>
  </si>
  <si>
    <t>General Merchandise N.O.C. - Storage Only; With Fibres, Oils, Petrochemicals, Rags, Fireworks, Matches, Explosives</t>
  </si>
  <si>
    <t>General Merchandise N.O.C. - Storage Moving, Handling, Packing; No Fibres, Oils, Petrochemicals, Rags, Fireworks, Matches, Explosives</t>
  </si>
  <si>
    <t>General Merchandise N.O.C. - Storage, Moving, Handling, Packing; With Fibres, Oils, Petrochemicals, Rags, Fireworks, Matches, Explosives</t>
  </si>
  <si>
    <t>Electronic Media Storage Centres</t>
  </si>
  <si>
    <t>Whiskey &amp; Distilled Spirits</t>
  </si>
  <si>
    <t>Transportation Terminal - Motor Freight (Incidental Garage)</t>
  </si>
  <si>
    <t>Waterfront Operations, Coal, Ore, Bulk Transfer</t>
  </si>
  <si>
    <t>Wharf &amp; Waterfront Properties N.O.C. Excluding Stevedoring  -Property other than Buildings</t>
  </si>
  <si>
    <t>Wharf &amp; Waterfront Properties N.O.C. Excluding Stevedoring - Buildings</t>
  </si>
  <si>
    <t>Water Transportation Services N.O.C.</t>
  </si>
  <si>
    <t>Boat Dealer - including accessories.  No boat building, repair or public storage (See Transportation Services)</t>
  </si>
  <si>
    <t>Retail Trade (excl Automobile)</t>
  </si>
  <si>
    <t>Boat Operation - Non-Owned; Coverage is usually on an Excess Policy Basis over any other valid or collectible insurance available to the Named Insured.</t>
  </si>
  <si>
    <t>Boat Repair (See Transportation Services)</t>
  </si>
  <si>
    <t>Boat Yards Including Marine Railway Includes boat sales and service, accessories, fuel, boat building and repairs</t>
  </si>
  <si>
    <t>Bot Storage &amp; Moorage - slip or dock rental; excludes damage to stored or docked boats</t>
  </si>
  <si>
    <t xml:space="preserve">Boat Rentals Unpowered Boats, Rowboats, Canoes, </t>
  </si>
  <si>
    <t>Boat Rentals Skiffs, Dinghies - up to 25 Horsepower</t>
  </si>
  <si>
    <t>Boat Rentals Skiffs, Dinghies - 25 and over Horsepower</t>
  </si>
  <si>
    <t>Boat Rentals Inboard Motor Boats, Cabin Cruisers</t>
  </si>
  <si>
    <t>Boat Rentals Sailboats - other than Dinghies</t>
  </si>
  <si>
    <t>Boat Rentals Rafts or Floats</t>
  </si>
  <si>
    <t>Canal Operations Incl. locks</t>
  </si>
  <si>
    <t>Aircraft Maintenance &amp; Repair Hangars</t>
  </si>
  <si>
    <t>Bus &amp; Truck Maintenance Garages (Not Freight Terminals)</t>
  </si>
  <si>
    <t>Telephone Communications Services</t>
  </si>
  <si>
    <t>Utilities</t>
  </si>
  <si>
    <t>Communication Services Incl. Cablevision</t>
  </si>
  <si>
    <t>Telegraph Communication Services</t>
  </si>
  <si>
    <t>Freight Brokers</t>
  </si>
  <si>
    <t>Radio &amp; Television Stations  - No Stage or Scenery Storage</t>
  </si>
  <si>
    <t>Radio &amp; Television Stations  - With Stage or Scenery Storage</t>
  </si>
  <si>
    <t>Electric Light &amp; Power Companies</t>
  </si>
  <si>
    <t>Gas Companies -Local Natural Gas Distribution</t>
  </si>
  <si>
    <t>Gas Companies -Liquified Petroleum Dealers</t>
  </si>
  <si>
    <t>Steam Heating or Power</t>
  </si>
  <si>
    <t>Garbage Reduction &amp; Incineration</t>
  </si>
  <si>
    <t>Garbage Collection -Domestic</t>
  </si>
  <si>
    <t>Garbage Collection -Industrial</t>
  </si>
  <si>
    <t xml:space="preserve">Waterworks Operation;  This classification includes maintenance. </t>
  </si>
  <si>
    <t>Sewers, storm &amp; sanitary - Existence only; Municipal Including Settling Tanks &amp;  Disposal Tanks</t>
  </si>
  <si>
    <t>Waste Disposal Sites (Incl. hazardous materials)</t>
  </si>
  <si>
    <t>Irrigation Works</t>
  </si>
  <si>
    <t>Recycling Collection Centres and Plants</t>
  </si>
  <si>
    <t>Pipeline Operation - Non-flammable</t>
  </si>
  <si>
    <t>Automobiles,Trucks, Buses; Auto Auctions</t>
  </si>
  <si>
    <t>Wholesale Trade &amp; Private Storage</t>
  </si>
  <si>
    <t xml:space="preserve"> - Wheel Assembly, Brakes, Steering Parts</t>
  </si>
  <si>
    <t xml:space="preserve"> - Other Operating Parts</t>
  </si>
  <si>
    <t>Automobile Equipment and Parts  - Body/Non-Operating Parts, Accessories</t>
  </si>
  <si>
    <t>Tires and Tubes</t>
  </si>
  <si>
    <t>Rubber Products - Not Tires, Tubes</t>
  </si>
  <si>
    <t>Cosmetics</t>
  </si>
  <si>
    <t>Drug Supply (Low Hazard)</t>
  </si>
  <si>
    <t>Drug Supply (Medium to High Hazard)</t>
  </si>
  <si>
    <t>Acids, Petrochemicals, Fertilizer with Ammonium Nitrate</t>
  </si>
  <si>
    <t>Gases  -  Other than Petroleum based</t>
  </si>
  <si>
    <t>Paints, Varnish, Lacquer, Printer's Ink, Analine Dyes, Wallpaper</t>
  </si>
  <si>
    <t>Pesticide, Insecticides, Herbicides</t>
  </si>
  <si>
    <t>Fertilizer (not Ammonium Nitrate), Salt, Sulphur, Phosphate, Borax, Potash</t>
  </si>
  <si>
    <t>Chemicals Low to Moderate Hazard N.O.C.; Not Acids, Petrochemicals, Gases, Paint, Wallpaper, Radioactive Isotopes, Pesticides, Fertilizer</t>
  </si>
  <si>
    <t>Boots and Shoes</t>
  </si>
  <si>
    <t>Accessories Incl. Leather Goods - Not Footwear, Umbrellas</t>
  </si>
  <si>
    <t>Fur Clothing</t>
  </si>
  <si>
    <t>Children's and Infants' Wear</t>
  </si>
  <si>
    <t>Women's and Girls' Wear</t>
  </si>
  <si>
    <t>Mens' and Boys' Wear</t>
  </si>
  <si>
    <t>Dry Goods, Piece Goods, Wool</t>
  </si>
  <si>
    <t>Notions, Housewares, N.O.C.</t>
  </si>
  <si>
    <t>Bakeries</t>
  </si>
  <si>
    <t>Grocery (N.O.C.)</t>
  </si>
  <si>
    <t>Beverages Non-Alcoholic</t>
  </si>
  <si>
    <t>Meat, Fish, Seafood, Poultry</t>
  </si>
  <si>
    <t>Fruit &amp; Vegetable (Produce)</t>
  </si>
  <si>
    <t>Animal Feed (Not Pet Food), Grain, Hay</t>
  </si>
  <si>
    <t>Food, Beverage, Tobacco or Drugs; Tobacco &amp; Tobacco Products (Processed)</t>
  </si>
  <si>
    <t>Tobacco, Unprocessed, Sales (Warehouse - Air or no drying)</t>
  </si>
  <si>
    <t>Electrical Appliances - No direct sales to consumers</t>
  </si>
  <si>
    <t>Electrical Appliances - Selling directly to consumers</t>
  </si>
  <si>
    <t>Hardware, Plumbing Supplies, Electrical Apparatus</t>
  </si>
  <si>
    <t>Heating, Air Conditioning, Refrigeration Equipment</t>
  </si>
  <si>
    <t>Radio, Television, Audio, Video Equipment, Electronic Games</t>
  </si>
  <si>
    <t xml:space="preserve">Industrial Machinery - Wholesale Distributor </t>
  </si>
  <si>
    <t>Machinery N.O.C.,  Not Industrial  -Wholesale Distributor (Sample Stock Only)</t>
  </si>
  <si>
    <t>Marine Supplies  - Wholesale Distributors</t>
  </si>
  <si>
    <t>Aircraft Supplies - Wholesale Distributors</t>
  </si>
  <si>
    <t>Industrial Machinery  -Manufacturer's Agent (Sample Stock Only)</t>
  </si>
  <si>
    <t>Machinery, Not Industrial  -Manufacturer's Agent (Sample Stock Only)</t>
  </si>
  <si>
    <t>Marine Supplies  -Manufacturer's Agent</t>
  </si>
  <si>
    <t>Aircraft Supplies - Manufacturer's Agent (Sample Stock Only)</t>
  </si>
  <si>
    <t>Fuel Oil, Gasoline See 5114 for storage exposure charge</t>
  </si>
  <si>
    <t>Gases - Petroleum based including LPG</t>
  </si>
  <si>
    <t>Asphalt, Greases</t>
  </si>
  <si>
    <t>Tank Farms (Oil or Gas) - Tanks Above Ground</t>
  </si>
  <si>
    <t xml:space="preserve">Tank Farms (Oil or Gas) - Tanks Below Ground   </t>
  </si>
  <si>
    <t>Auto Dismantling Including Salvage</t>
  </si>
  <si>
    <t>Rag, Paper Stock for Recycling</t>
  </si>
  <si>
    <t>Metal Scrap</t>
  </si>
  <si>
    <t>Second Hand Material Yards  -  excluding Tires</t>
  </si>
  <si>
    <t>Tire Salvage and Storage</t>
  </si>
  <si>
    <t>Food, Beverage, Tobacco pr Drugs - Liquor, Beer, Wine</t>
  </si>
  <si>
    <t>Paper &amp; Paper Products - not paper for recycling</t>
  </si>
  <si>
    <t>Furniture, Antiques</t>
  </si>
  <si>
    <t>Pictures, Paintings, Bric-A-Brac, Artificial Flowers</t>
  </si>
  <si>
    <t>Carpets, Rugs</t>
  </si>
  <si>
    <t>Floor Coverings - Not Carpets, Rugs</t>
  </si>
  <si>
    <t>Draperies, Window Goods</t>
  </si>
  <si>
    <t>Lumber Yards  Excluding Second Hand Material Yards, Wrecking and Salvage Operations.</t>
  </si>
  <si>
    <t>Building Materials, not Lumber only</t>
  </si>
  <si>
    <t>Seed &amp; Garden Supplies - Light Farm Supplies</t>
  </si>
  <si>
    <t xml:space="preserve"> -Costume Jewellery, Novelty, Imitation ($50 Limit per article)</t>
  </si>
  <si>
    <t xml:space="preserve"> -Clocks, Watches, Precious Stones, Silverware</t>
  </si>
  <si>
    <t>Newspapers, Periodicals and Books</t>
  </si>
  <si>
    <t>Miscellaneous N.O.C.</t>
  </si>
  <si>
    <t>Fireworks, Matches, Resin, Vegetable and Mineral Oils, Celluloid, Plastic &amp; Wax Products, Janitorial Supplies</t>
  </si>
  <si>
    <t>Precision Equipment (Dental, Hospital Surgical, Drafting, Engineering, Scientific)</t>
  </si>
  <si>
    <t>Film</t>
  </si>
  <si>
    <t>Leather</t>
  </si>
  <si>
    <t>Religious Goods</t>
  </si>
  <si>
    <t>Stationery</t>
  </si>
  <si>
    <t>Toys</t>
  </si>
  <si>
    <t>Prosthetic Devices, Hearing Aid, EyeWear</t>
  </si>
  <si>
    <t>Cameras, Optical Goods - excl. Eyewear</t>
  </si>
  <si>
    <t>Optical Goods  -  excluding Eyewear</t>
  </si>
  <si>
    <t>Sporting Goods</t>
  </si>
  <si>
    <t>China, Glass Products, Earthenware</t>
  </si>
  <si>
    <t>Marble, Decorative Stone, Clay</t>
  </si>
  <si>
    <t>Precious Metals</t>
  </si>
  <si>
    <t>Metal N.O.C.Other than Precious Metals or Scrap</t>
  </si>
  <si>
    <t>Equipment for Bars, Hotels, Restaurants, Offices and Stores - not mechanical or electronic amusement devices</t>
  </si>
  <si>
    <t>Barber Shop and Beauty Supplies</t>
  </si>
  <si>
    <t>Computer Systems Large or Mainframe incl. Tape Drives, etc.</t>
  </si>
  <si>
    <t>Computers,Personal; Office Machines</t>
  </si>
  <si>
    <t>Fuel Solid, Ice</t>
  </si>
  <si>
    <t>Hardware Store excluding installations (No Firearms, Explosives)</t>
  </si>
  <si>
    <t>Plumbing &amp; Heating Equipment Supplies Store</t>
  </si>
  <si>
    <t>Air Conditioning Equipment Store</t>
  </si>
  <si>
    <t>Hardware - Firearms, Ammunition, Explosives carried,  no work off premises</t>
  </si>
  <si>
    <t>Hardware - Installation/Repairs away from premises</t>
  </si>
  <si>
    <t>Paint and Wallpaper- no work off premises</t>
  </si>
  <si>
    <t>Auto Parts and Accessories - Sound Equipment, alarms, tires - including Installation</t>
  </si>
  <si>
    <t>Automobile_Trade</t>
  </si>
  <si>
    <t>Auto Parts and Accessories - no installation</t>
  </si>
  <si>
    <t>Mobile Homes, Prefabricated Housing</t>
  </si>
  <si>
    <t>Building Materials, Home Improvement Centres</t>
  </si>
  <si>
    <t>Plumbing, Heating, Air Conditioning  No work off premises</t>
  </si>
  <si>
    <t>China, Crockery and Glassware Store</t>
  </si>
  <si>
    <t>Kitchenware Store</t>
  </si>
  <si>
    <t>Gift Shops</t>
  </si>
  <si>
    <t>Building Owner - Multiple Occupancy - Mercantile Tenants</t>
  </si>
  <si>
    <t>Building Owner - Multiple Occupancy - Mercantile Tenants (High Hazard Tenant)</t>
  </si>
  <si>
    <t>Multiple Occupancy   - Mercantile         -  Condo</t>
  </si>
  <si>
    <t>Shopping Malls (Enclosed)</t>
  </si>
  <si>
    <t>Public Markets  (Open Air)</t>
  </si>
  <si>
    <t>Large Open Area Stores (1000 m2 or more)- Furniture, Heavy Appliances, Lamps, Lighting Fixtures, Second Hand Furniture</t>
  </si>
  <si>
    <t>Large Open Area Stores (1000 m2 or more)- Clothing - including tailoring, alteration and repair work but excl. manufacturing.</t>
  </si>
  <si>
    <t>Large Open Area Stores (1000 m2 or more)- Carpets, Rugs, Draperies, Curtains, Linen, Linoleum, Tile, Other Floor Covering</t>
  </si>
  <si>
    <t>Large Open Area Stores (1000 m2 or more)- Large Open Area Stores N.O.C.- Code 5990 for Stores less than 1000 m2</t>
  </si>
  <si>
    <t>Department Stores Excl. Jewellery, Furs, Firearms- stores selling, wearing  House Furnishings, Furniture, Hardware, Groceries or Meats</t>
  </si>
  <si>
    <t>Department Stores Incl. Jewellery, Furs, Firearms- stores selling wearing  House Furnishings, Furniture, Hardware, Groceries or Meats</t>
  </si>
  <si>
    <t>Vending Machine Operators - Not Food/Beverage</t>
  </si>
  <si>
    <t>Vending Machine Operators - Food &amp; Beverage</t>
  </si>
  <si>
    <t>Door to Door Consumer Sales &amp; Service</t>
  </si>
  <si>
    <t>Mail Order Houses, Direct Selling Organizations</t>
  </si>
  <si>
    <t xml:space="preserve">Supermarkets (1000 m2 or more) </t>
  </si>
  <si>
    <t>Bakeries - Incl baking operations for sale at the same location</t>
  </si>
  <si>
    <t>Dairy Products, Ice Cream Shops Includes manufacturing operations at the same location as the store if the products manufactured are sold principally in the store.</t>
  </si>
  <si>
    <t>Dairy Products Store (No mfg)</t>
  </si>
  <si>
    <t>Ice Cream Parlours (No mfg)</t>
  </si>
  <si>
    <t>Candy, Confectionery - Incl products mfg for sale at same location</t>
  </si>
  <si>
    <t>Frozen Foods</t>
  </si>
  <si>
    <t>Produce - Fruit &amp; Vegetables - Organic, Food Stores</t>
  </si>
  <si>
    <t>Butcher Shops (food stores)</t>
  </si>
  <si>
    <t>Delicatessens - Unlicensed (No Deep Fat Frying) (food stores)</t>
  </si>
  <si>
    <t>Produce - Fruit &amp; Vegetables - Fresh (food stores)</t>
  </si>
  <si>
    <t>Grocery Stores (Food Stores)</t>
  </si>
  <si>
    <t>Bulk food store (Food stores)</t>
  </si>
  <si>
    <t>Poultry or Seafood Store (Food Stores)</t>
  </si>
  <si>
    <t>Health foods Store (no nutritional counseling services or proprietary fomulations) (Food Stores)</t>
  </si>
  <si>
    <t>Fish market (Food stores)</t>
  </si>
  <si>
    <t>Gourmet Food shop (Food Stores)</t>
  </si>
  <si>
    <t>Dealer (NOT exclusively Motorcycles Used Motor Vehicle Sales only) A risk principally engaged in the business of selling and repairing automobiles.</t>
  </si>
  <si>
    <t>Auto Trade (Retail)</t>
  </si>
  <si>
    <t>Used Cars Sales Only: A risk principally engaged in the business of selling used automobiles.</t>
  </si>
  <si>
    <t>Repair Garage not Self Serve: A risk solely engaged in the business of  repairing and servicing automobiles not selling new or used automobiles.</t>
  </si>
  <si>
    <t>Motorcycle and Snowmobile Sales &amp; Service A risk principally engaged in the business of selling and repairing motorcycles and snowmobiles.</t>
  </si>
  <si>
    <t>Farm Implement and Machinery - Sale &amp; Service</t>
  </si>
  <si>
    <t>Trailer and Camper Unit Sales and Service  A risk principally engaged in the business of selling and repairing trailer and camper unit. Major modifications refer to Manufacturing Section.</t>
  </si>
  <si>
    <t>Gas Bar - Not Service Station or Self Serve A risk solely engaged in the business of refuelling automobiles (gasoline, diesel or propane)</t>
  </si>
  <si>
    <t>Service Station A risk engaged in the business of operating a public service station,  providing the following services of  i)  Re-fuelling automobiles (gasoline, diesel or propane);   ii) Washing, filling and lubrication;    iii)Battery, ignition, spring and tire repairs, but no engine, mechanical or body repairs;   iv) Selling or servicing of incidental automobile parts and accessories;   v)  Automatic Car Wash</t>
  </si>
  <si>
    <t>Specialty Shops - not Audio A risk solely engaged in the specialized repair of automobiles Air conditioning, installation and repair, Brake repair, Radiator repair shops, Electrical repair, Suspension shops Exhaust System repair, Transmission repair &amp; Front End Alignment Shops replacement, Glass replacement, Upholstery Shops &amp; Repair, Propane Conversion</t>
  </si>
  <si>
    <t>Car Wash - Not Self-Serve A risk solely engaged in the business of an Automatic Car Wash</t>
  </si>
  <si>
    <t>Gas Bar - Self Serve; Gas Bar where the customers service their own automobiles only</t>
  </si>
  <si>
    <t>Car Wash - Self Serve; A risk solely engaged in the business of providing facilities where the customers clean their own automobiles.</t>
  </si>
  <si>
    <t>Repair Garage - Self Serve A risk solely engaged in the business of providing facilities and assistance to customers who repair or service  their own automobiles. Where self-serve facilities and a service station are  operated  at the same location, each risk is rated separately.</t>
  </si>
  <si>
    <t>Body &amp; Paint Shop</t>
  </si>
  <si>
    <t>Tire Recapping and Retreading</t>
  </si>
  <si>
    <t>Marine and boating supplies (no repair or service; no sales of motors or motorized boats)</t>
  </si>
  <si>
    <t>Aircraft Supplies</t>
  </si>
  <si>
    <t>Furriers -including tailoring, alteration but excluding manufacturing.</t>
  </si>
  <si>
    <t>Shoe Store,Footwear (Boots and Shoes) - including tailoring, alteration and repair work but excluding manufacturing.</t>
  </si>
  <si>
    <t>Accessories (Belts,Hosiery,Scarves, etc) - including tailoring, alteration and repair work but excluding manufacturing.</t>
  </si>
  <si>
    <t>Optical Store (No highend brand name sunglasses)</t>
  </si>
  <si>
    <t>Optical Store (Including highend brand name sunglasses)</t>
  </si>
  <si>
    <t>Clothing Accessories Store (Belts, Hosiery, Scarves)</t>
  </si>
  <si>
    <t>Clothing Store - Unisex (No fur or leather)</t>
  </si>
  <si>
    <t>Clothing Store - Women's Wear (No fur or leather)</t>
  </si>
  <si>
    <t>Men's Wear - including tailoring, alteration and repair work but excluding manufacturing.</t>
  </si>
  <si>
    <t>Men's Wear, clothing - exclusing leather, furs, fur-trimmed items</t>
  </si>
  <si>
    <t>Artist &amp; Drafting Supplies Store</t>
  </si>
  <si>
    <t>Antiques, Bric-a-Brac Store Only</t>
  </si>
  <si>
    <t>Art Galleries, Pictures, Prints, Framing including Conservators</t>
  </si>
  <si>
    <t>Carpets, Rugs, Draperies, Curtains, Linen, Linoleum, Tile, Other Floor Covering, Store Only</t>
  </si>
  <si>
    <t>Furniture, Heavy Appliances, Lamps,  Lighting Fixtures, Second Hand Furniture, Store Only</t>
  </si>
  <si>
    <t>Electronic Equipment - Household (No installations) (No Used Goods)</t>
  </si>
  <si>
    <t>Blinds and Draperies Store with incidental installations</t>
  </si>
  <si>
    <t>Electronic Equipment - Portable Devices (i.e. Cell Phones, mobile phones)</t>
  </si>
  <si>
    <t>Electronics, Television / TV, audio, visual equipment including incidental computer equipment (store only) - no media or software</t>
  </si>
  <si>
    <t>Office supplies store</t>
  </si>
  <si>
    <t>Records, Compact Discs (CDs), DVDs and Tapes (Audio/Video)  - Sale and Rentals Store Only</t>
  </si>
  <si>
    <t>Music Stores - CDs, DVDs (No Used Goods)</t>
  </si>
  <si>
    <t>Carpets, Rugs, Draperies, Curtains, Linen, Linoleum, Tile, Other Floor Covering With incidental install/ repair off premises</t>
  </si>
  <si>
    <t>Draperies, Curtains, blinds store including installation up to max 25%</t>
  </si>
  <si>
    <t>Carpet, floor coverings and Area Rugs Store w/ incidental installations (No High Valued Rugs)</t>
  </si>
  <si>
    <t>Furniture, Heavy Appliances, Lamps, Lighting Fixtures Store</t>
  </si>
  <si>
    <t>Lighting Fixtures + incidental install (No Used Goods)</t>
  </si>
  <si>
    <t>Furniture - Office + incidental install (No Used Goods or Electronics)</t>
  </si>
  <si>
    <t>Electronics, Television / TV, audio, visual equipment including incidental computer equipment (incidental installation and repair) - no media or software</t>
  </si>
  <si>
    <t>Furniture - Office &amp; Electronics + incidental install (No Used Goods)</t>
  </si>
  <si>
    <t>Restaurant - Dine-in with incidental take out (Unlicensed)</t>
  </si>
  <si>
    <t>Hospitality</t>
  </si>
  <si>
    <t>Restaurant -Licensed, no dancing or live   entertainment (L) (see also Catering, Drive In, Take Out)</t>
  </si>
  <si>
    <t>Accomodation, Food &amp; Beverage Services</t>
  </si>
  <si>
    <t>Drive-in Restaurants &amp; Refreshment Stands</t>
  </si>
  <si>
    <t>Take out Food Service</t>
  </si>
  <si>
    <t xml:space="preserve">Beer Parlours/Gardens not in Hotel, Inn, Resort (L) No dancing, no live entertainment </t>
  </si>
  <si>
    <t>Licensed Establishments, not in Hotel, Inn, Resort (L); No Live Entertainment or Dance Floor</t>
  </si>
  <si>
    <t>Licensed Establishments - Live Entertainment &amp;/or no Dance Floor incl. Night Clubs (not in Hotel, Inn, Resort (L))</t>
  </si>
  <si>
    <t>Drug Stores - Prescription service only</t>
  </si>
  <si>
    <t>Drug Stores - Prescriptions and general merchandise</t>
  </si>
  <si>
    <t>Perfumes, cosmetics &amp; Beauty Supplies Store</t>
  </si>
  <si>
    <t>Food - Beer, Wine, Liquor Stores</t>
  </si>
  <si>
    <t>Beer &amp; Wine Making Supplies (Including Brew Your Own)</t>
  </si>
  <si>
    <t>Beer &amp; Wine Making Supplies (Excluding Brew Your Own)</t>
  </si>
  <si>
    <t>Sporting Goods -Firearms, ammunition carried</t>
  </si>
  <si>
    <t>Sporting Goods, Golf Pro Shops, Fishing supplies and bait shops - No firearms, ammunition, sky diving or scuba equipment carried</t>
  </si>
  <si>
    <t>Sporting Goods -Speciality Service (diving equipment, sky diving service and the like)</t>
  </si>
  <si>
    <t>Bicycle Shops Including Repair and Assembly</t>
  </si>
  <si>
    <t>Pawnbrokers</t>
  </si>
  <si>
    <t>Lawn &amp; Garden Centres and Light Farm Supplies</t>
  </si>
  <si>
    <t>Jewellery</t>
  </si>
  <si>
    <t>Fuel Dealers - Solid Fuel (Does not contemplate delivery)</t>
  </si>
  <si>
    <t>Fuel Dealers - Liquid Fuel (Does not contemplate delivery)</t>
  </si>
  <si>
    <t>Fuel Dealers - Gases (Does not contemplate delivery)</t>
  </si>
  <si>
    <t>Ice Sales / Dealers</t>
  </si>
  <si>
    <t>Gases and Chemicals N.O.C.</t>
  </si>
  <si>
    <t>Stores N.O.C. See also Code 5314 - Stores 100m2 or greater</t>
  </si>
  <si>
    <t>Bedding store, Home décor accessories, kitchen accessories, souenir shop</t>
  </si>
  <si>
    <t>Variety Store, Convenience Store</t>
  </si>
  <si>
    <t>Tobacconist (excluding convenience stores)</t>
  </si>
  <si>
    <t>Shoe Repair, Shoe Shine, Hat Cleaning</t>
  </si>
  <si>
    <t>Books, Stationary and Gift Cards (No Rare Books and No Used Books)</t>
  </si>
  <si>
    <t>Florist, Artificial Flowers and Plants (no Greenhouse)</t>
  </si>
  <si>
    <t>Party Supply Store</t>
  </si>
  <si>
    <t>Pet Shops</t>
  </si>
  <si>
    <t>Pet Grooming</t>
  </si>
  <si>
    <t>Pet Shops - no exotic pets</t>
  </si>
  <si>
    <t>General Stores Country</t>
  </si>
  <si>
    <t>General Stores Country - No alcohol sales</t>
  </si>
  <si>
    <t>Fabric and Dry Good Stores</t>
  </si>
  <si>
    <t>Flea Market</t>
  </si>
  <si>
    <t>Craft Store including classes, Handicraft</t>
  </si>
  <si>
    <t>Drafting Instruments &amp; Supplies Store</t>
  </si>
  <si>
    <t>Luggage and Handbag Store (No Leather)</t>
  </si>
  <si>
    <t>Musical Instruments Store including music lessons</t>
  </si>
  <si>
    <t>Sewing Machine Store including service and repair</t>
  </si>
  <si>
    <t>Leather Goods Store (luggage, handbags, gloves)</t>
  </si>
  <si>
    <t>Bath Shops</t>
  </si>
  <si>
    <t>Bedroom Shops</t>
  </si>
  <si>
    <t>Hair and Beauty Products Store</t>
  </si>
  <si>
    <t>Linen Shops</t>
  </si>
  <si>
    <t>Art &amp; Craft Supplies, Artist Supplies</t>
  </si>
  <si>
    <t>Knitting Supplies and Wool</t>
  </si>
  <si>
    <t>Cameras and Photography Supplies - including photo studio</t>
  </si>
  <si>
    <t>Limited Price Range Stores (Five and Dime; Dollar Stores)</t>
  </si>
  <si>
    <t>Coin, Stamp Card Dealers, Rare Book Stores</t>
  </si>
  <si>
    <t>Banks &amp; Deposit Accepting Trust Cos*</t>
  </si>
  <si>
    <t>Professional</t>
  </si>
  <si>
    <t>Trust Companies Not Accepting Deposits</t>
  </si>
  <si>
    <t>Banks Foreign - Not Conducting General Banking Business *</t>
  </si>
  <si>
    <t>Credit Unions, Caisses Populaires, Saving &amp; Loan *</t>
  </si>
  <si>
    <t>Finance Companies, Misc. Personal Credit Institutions*</t>
  </si>
  <si>
    <t>Investment Institutions *</t>
  </si>
  <si>
    <t>Stock, Securities Brokers, Dealers</t>
  </si>
  <si>
    <t>Commodity Brokers, Dealers, Investment firms</t>
  </si>
  <si>
    <t>Stock and Commodity Exchanges</t>
  </si>
  <si>
    <t>Currency Brokers, Exchanges *</t>
  </si>
  <si>
    <t>Insurance Companies *</t>
  </si>
  <si>
    <t>Pension, Welfare, Retirement Benefit Funds -Labour Unions</t>
  </si>
  <si>
    <t>Pension, Welfare, Retirement Benefit Funds -Not Labour Unions</t>
  </si>
  <si>
    <t>Accountants, Auditors</t>
  </si>
  <si>
    <t>Bookkeepers (Not seasonal tax preparation kiosks)</t>
  </si>
  <si>
    <t>Insurance Adjusters, Agents, Brokers</t>
  </si>
  <si>
    <t>Independent Adjusters</t>
  </si>
  <si>
    <t>Insurance Brokers, Agents</t>
  </si>
  <si>
    <t>Mortgage Brokers, Loan Correspondents</t>
  </si>
  <si>
    <t>Management Consultants</t>
  </si>
  <si>
    <t>Acoustical consultants</t>
  </si>
  <si>
    <t>Actuarial consultants</t>
  </si>
  <si>
    <t>Export consultants (no freight forwarders)</t>
  </si>
  <si>
    <t>Health &amp; safety consultants</t>
  </si>
  <si>
    <t>Human resources / personnel consultants (not placement agencies)</t>
  </si>
  <si>
    <t>Quality assurance consultants</t>
  </si>
  <si>
    <t>Translation services</t>
  </si>
  <si>
    <t>Urban planning consultants</t>
  </si>
  <si>
    <t>Career consultants including resume writing (not placement agencies)</t>
  </si>
  <si>
    <t>Financial Planning</t>
  </si>
  <si>
    <t>Office Buildings - High Rise (Over 10 Storeys) - Multiple Occupancy</t>
  </si>
  <si>
    <t>Office Buildings - High Rise (Over 10 Storeys) - Single Occupancy</t>
  </si>
  <si>
    <t>Office Buildings - Low Rise (Under 10 Storeys) - Multiple Occupancy</t>
  </si>
  <si>
    <t>Office Buildings - Low Rise (Under 10 Storeys) - Single Occupancy</t>
  </si>
  <si>
    <t>Subdivisions (Large Area Housing Developments)</t>
  </si>
  <si>
    <t>Townhouses - not Condominiums - No Mercantile Occupancy</t>
  </si>
  <si>
    <t>Apartments - Low Rise (Under 10 Storeys) - No Mercantile Occupany</t>
  </si>
  <si>
    <t>Townhouses - not Condominiums  - With Mercantile Occupancy</t>
  </si>
  <si>
    <t>Apartments - Low Rise (Under 10 Storeys) - With Mercantile Occupancy</t>
  </si>
  <si>
    <t xml:space="preserve">Tenement Apartment and Row Housing; Not Over Six Rental Units </t>
  </si>
  <si>
    <t>Real Estate Agents Office (No Property Managers)</t>
  </si>
  <si>
    <t>Office Tenant N.O.C.</t>
  </si>
  <si>
    <t>Building Owner - Own Office</t>
  </si>
  <si>
    <t>Apartments - High Rise (Over 10 Storeys) - No Mercantile Occupancy</t>
  </si>
  <si>
    <t>Apartments - High Rise (Over 10 Storeys) - With Mercantile Occupancy</t>
  </si>
  <si>
    <t xml:space="preserve">One or Two Family Dwellings  </t>
  </si>
  <si>
    <t>Building Owner - Single Occupancy - Retail</t>
  </si>
  <si>
    <t>Building Owner - Single Occupancy - Mercantile</t>
  </si>
  <si>
    <t>Condominiums High Rise Over 10 Storeys   - No Mercantile Occupancy</t>
  </si>
  <si>
    <t>Condominiums High Rise Over 10 Storeys  - With Mercantile Occupancy</t>
  </si>
  <si>
    <t>Condominiums, Low Rise - not Townhouses (6670)     - No Mercantile Occupancy</t>
  </si>
  <si>
    <t>Condominiums, Low Rise - not Townhouses (6670)   - With Mercantile Occupancy</t>
  </si>
  <si>
    <t>Condominiums, Townhouses</t>
  </si>
  <si>
    <t>Hotels  - Year Round Licensed (L) *</t>
  </si>
  <si>
    <t>Hotels  - Year Round Not Licensed *</t>
  </si>
  <si>
    <t>Hotels  - Seasonal (Resorts) Licensed (L) *</t>
  </si>
  <si>
    <t>Hotels  - Seasonal (Resorts) Not Licensed *</t>
  </si>
  <si>
    <t>University Residences, including Fraternity or sorority houses - not over six rental units</t>
  </si>
  <si>
    <t>Mission, Family Shelters, Halfway Houses or Settlement Houses - Not over six rental units</t>
  </si>
  <si>
    <t>Summer Camps, Dude Ranches, Resort Property *</t>
  </si>
  <si>
    <t>Campgrounds incl. Trailer Parks  (See also Summer Camps)</t>
  </si>
  <si>
    <t>Resort Property - not Campground (7042), Summer Camps (7041), Mobile Home (7044)</t>
  </si>
  <si>
    <t>Mobile Home Parks - Not Transient or Recreational*</t>
  </si>
  <si>
    <t>Motels, Tourist Courts -Year Round, Licensed, Food Served (L)*</t>
  </si>
  <si>
    <t>Motels, Tourist Courts -Year Round, No Liquor License, Food Served*</t>
  </si>
  <si>
    <t>Motels, Tourist Courts -Year Round, No Liquor License, No Food Served*</t>
  </si>
  <si>
    <t>Bed and Breakfast Tourist Homes</t>
  </si>
  <si>
    <t>Motels, Tourist Courts -Seasonal, Licensed, Food Served (L)*</t>
  </si>
  <si>
    <t>Motels, Tourist Courts -Seasonal, No Liquor License, Food Served*</t>
  </si>
  <si>
    <t>Motels, Tourist Courts -Seasonal, No Liquor License, No Food Served*</t>
  </si>
  <si>
    <t>Dry Cleaning &amp; Laundromats (Self Serve)</t>
  </si>
  <si>
    <t>Dry Cleaners &amp; Dyers, Laundries Other than Self Service; Excluding insurance against liability arising out of damage to or destruction of dry cleaning.</t>
  </si>
  <si>
    <t>Dry Cleaners, Laundries - Receiving Depot Only</t>
  </si>
  <si>
    <t>Laundry and Drycleaning Stores</t>
  </si>
  <si>
    <t>Cemetery  -  Mausoleum</t>
  </si>
  <si>
    <t>Mausoleum Not in Cemetery</t>
  </si>
  <si>
    <t>Crematoria</t>
  </si>
  <si>
    <t>Cemetery Pre-Paid Funds</t>
  </si>
  <si>
    <t>Funeral Homes, Morticians</t>
  </si>
  <si>
    <t>Funeral Homes, Undertakers</t>
  </si>
  <si>
    <t>Photography Studio (No Off-Premises Work)</t>
  </si>
  <si>
    <t>Cameras and Photography equipment - including photo studio &amp; off-premises photography</t>
  </si>
  <si>
    <t>Photography Studio (Including Off-Premises Work) (No Aerial)</t>
  </si>
  <si>
    <t xml:space="preserve">Photography, Videography - Aerial </t>
  </si>
  <si>
    <t>Photography, Videography - Developing &amp; Printing Services</t>
  </si>
  <si>
    <t>Barber Shops, Men's Hairstyling</t>
  </si>
  <si>
    <t>Beauty Salon + ear pierce, waxing (No Body Piercing, Tattooing, Aestheticians)</t>
  </si>
  <si>
    <t>Beauty Salon + Aestheticians (No Body Piercing, Tattooing)</t>
  </si>
  <si>
    <t>Hair salon including manicures &amp; pedicures (excluding aesthetic services &amp; tanning beds; no spas)</t>
  </si>
  <si>
    <t xml:space="preserve">Tour Operators </t>
  </si>
  <si>
    <t>Travel Agencies (excluding tour operators / guides)</t>
  </si>
  <si>
    <t xml:space="preserve">Driving Schools                      </t>
  </si>
  <si>
    <t xml:space="preserve">Restaurant Cooker - Hood Cleaning </t>
  </si>
  <si>
    <t>Advertising Sign - Company Operations; Rental &amp; Sale of signs &amp; advertising space (erection, maintenance &amp; dismantling)</t>
  </si>
  <si>
    <t>Advertising Agencies</t>
  </si>
  <si>
    <t>Public Relations, Graphic Design</t>
  </si>
  <si>
    <t>Graphic Design</t>
  </si>
  <si>
    <t>Graphic Design - excluding Personal Injury Advertising Agencies</t>
  </si>
  <si>
    <t>Graphic Design (No Software or System Development)</t>
  </si>
  <si>
    <t>Collection Agencies</t>
  </si>
  <si>
    <t>Chimney Sweeps</t>
  </si>
  <si>
    <t>Chimney Sweeping</t>
  </si>
  <si>
    <t>Furnace and Heating Duct Cleaning</t>
  </si>
  <si>
    <t>Fumigation, Exterminating Operations inside Building or vessel</t>
  </si>
  <si>
    <t>Window cleaning</t>
  </si>
  <si>
    <t>Window cleaning excluding operations over 5 storeys</t>
  </si>
  <si>
    <t xml:space="preserve">Building Management *;    Fidelity : See Guideline 42.10 in the Realty Group.   </t>
  </si>
  <si>
    <t>Janitorial contractors</t>
  </si>
  <si>
    <t>Duct Cleaning - Heating &amp; A/C (Residential)</t>
  </si>
  <si>
    <t>Janitorial Service - Commercial</t>
  </si>
  <si>
    <t>Rug, Upholstery, Furniture, Drapery cleaning</t>
  </si>
  <si>
    <t>Alarm System - Installation (excluding repair of fire suppression equipment)</t>
  </si>
  <si>
    <t>Copying/Duplicating Service (Quick Printers)</t>
  </si>
  <si>
    <t>Auctioneer's Operations</t>
  </si>
  <si>
    <t>Catering &amp; Commissariat Work</t>
  </si>
  <si>
    <t>Detective, Patrol Agency, Security Service*;  including Telelphone  Answering Service  Guard Dog Agencies</t>
  </si>
  <si>
    <t>Towel, Linen, Diaper, Uniform Supply</t>
  </si>
  <si>
    <t>Employment Agencies</t>
  </si>
  <si>
    <t>Court Reports</t>
  </si>
  <si>
    <t>Mailing/Addressing Companies</t>
  </si>
  <si>
    <t>Data Processing Centres</t>
  </si>
  <si>
    <t>Business Services N.O.C.</t>
  </si>
  <si>
    <t>Meter readers - gas, water, electricity</t>
  </si>
  <si>
    <t>Wedding planners (no retail)</t>
  </si>
  <si>
    <t>Piano tuning</t>
  </si>
  <si>
    <t>Modelling Schools</t>
  </si>
  <si>
    <t>Contractors Equipment Rental, Cranes, Derricks, Power Shovels - Equipment Rented to Others - With Operator</t>
  </si>
  <si>
    <t>Contractors Equipment Rental, Cranes, Derricks, Power Shovels - Equipment Rented to Others - Without Operator</t>
  </si>
  <si>
    <t>Contractors Equipment Rental, Scaffolding, Ladders, Hoists Rented to Others</t>
  </si>
  <si>
    <t>Equipment Rented to Others N.O.C. - With Operator</t>
  </si>
  <si>
    <t>Compressors, Air Pressure Tanks, Pneumatic Tools, Steam Boilers,  etc - with Operator</t>
  </si>
  <si>
    <t>Contractors Equipment Rental</t>
  </si>
  <si>
    <t>Other Equipment N.O.C. - With Operator</t>
  </si>
  <si>
    <t>Equipment Rented to Others N.O.C. - Without Operator</t>
  </si>
  <si>
    <t>Compressors, Air Pressure Tanks, Pneumatic Tools, Steam Boilers, etc. - Without Operator</t>
  </si>
  <si>
    <t>Other Equipment N.O.C. - Without Operator</t>
  </si>
  <si>
    <t>Rental Stores (Equipment Rented to Others);  (See CE&amp;I - Rental of Contractors Equipment)</t>
  </si>
  <si>
    <t>Rental of Sporting Goods</t>
  </si>
  <si>
    <t>Equipment Storage</t>
  </si>
  <si>
    <t>Rental of Party Goods</t>
  </si>
  <si>
    <t>Parking Lots A risk principally engaged in storing, parking, washing and cleaning automobiles.</t>
  </si>
  <si>
    <t>Storage Garage A risk principally engaged in storing,  parking, washing, calling for and  delivering customers' automobiles.</t>
  </si>
  <si>
    <t>Rental of Cars &amp; Trucks</t>
  </si>
  <si>
    <t>Auto Appraisal Services</t>
  </si>
  <si>
    <t>Television, radio or Home Entertainment equipment repair</t>
  </si>
  <si>
    <t>Repair Shops - Other Electrical Appliances</t>
  </si>
  <si>
    <t>Repair Shops - Household Appliances (Small)</t>
  </si>
  <si>
    <t>Appliance repair (small appliances)</t>
  </si>
  <si>
    <t>Lawn and garden equipment repair.</t>
  </si>
  <si>
    <t>Locksmiths, gunsmith</t>
  </si>
  <si>
    <t>Locksmith (no alarm installation)</t>
  </si>
  <si>
    <t>Repair Shops - Re-Upholsterers, Furniture Refinishers</t>
  </si>
  <si>
    <t>Locksmith, Gunsmith</t>
  </si>
  <si>
    <t>Motion Picture, Videotaping - Production, Incl. Commercials</t>
  </si>
  <si>
    <t>Amusement &amp; Recreation Services</t>
  </si>
  <si>
    <t>Motion Picture, Videotaping - Distribution Incl. Exchanges</t>
  </si>
  <si>
    <t xml:space="preserve">Cinema (For Outdoor Screens use Drive In) </t>
  </si>
  <si>
    <t xml:space="preserve"> Not more than two performances per day</t>
  </si>
  <si>
    <t xml:space="preserve"> More than two performances per day</t>
  </si>
  <si>
    <t>Theatre, Auditorium, Concert Hall (Live)  (See Cinema/Drive-In for Motion Picture) - not more than 2 performances per day</t>
  </si>
  <si>
    <t xml:space="preserve"> Theatre, Auditorium, Concert Hall (Live)  (See Cinema/Drive-In for Motion Picture) - More than two performances per day</t>
  </si>
  <si>
    <t>Drive-In Theatres</t>
  </si>
  <si>
    <t xml:space="preserve">Billiard, Pool Halls                 </t>
  </si>
  <si>
    <t>Bowling Alley - Up to Ten Alleys</t>
  </si>
  <si>
    <t>Blowling Alley - Over Ten Alleys</t>
  </si>
  <si>
    <t>Amusement Arcade - Coin Operated (No riding machines)</t>
  </si>
  <si>
    <t>Casinos    -  Licensed</t>
  </si>
  <si>
    <t>Casinos    -  Not Licensed</t>
  </si>
  <si>
    <t>Museums - Commercial (Waxworks, etc.)</t>
  </si>
  <si>
    <t>Sports Playing Fields, No Stands, etc. for Spectators</t>
  </si>
  <si>
    <t>Grandstands, Stadia 0-200</t>
  </si>
  <si>
    <t>Grandstands, Stadia 201 - 500</t>
  </si>
  <si>
    <t>Grandstands, Stadia 501 - 1000</t>
  </si>
  <si>
    <t>Grandstands, Stadia 1001 - 2000</t>
  </si>
  <si>
    <t>Grandstands, Stadia Over 2000</t>
  </si>
  <si>
    <t>Race Track Operations - Motor Vehicles; Non-motor vehicles, see code 7960</t>
  </si>
  <si>
    <t>Amateur - Contact Sports</t>
  </si>
  <si>
    <t>Athletic Events, Teams or Leagues</t>
  </si>
  <si>
    <t>Amateur - Other than Contact Sports</t>
  </si>
  <si>
    <t>Professional -Contact Sports</t>
  </si>
  <si>
    <t>Professional -Other than Contact Sports</t>
  </si>
  <si>
    <t>Horse Show or Rodeo</t>
  </si>
  <si>
    <t>Entertainers, Professional</t>
  </si>
  <si>
    <t>Concert or Similar Entertainment; Where the seating capacity of the hall to be used is 500 or less</t>
  </si>
  <si>
    <t>Concert or Similar Entertainment; Where the seating capacity of the hall to be used is 500 - 999</t>
  </si>
  <si>
    <t>Concert or Similar Entertainment; Where the seating capacity of the hall to be used is 1000 or over</t>
  </si>
  <si>
    <t>Concert or Similar Entertainment; with three or more performance days.</t>
  </si>
  <si>
    <t>Exhibitions - in buildings not in Amusement Parks</t>
  </si>
  <si>
    <t>Exhibitions, Fairs</t>
  </si>
  <si>
    <t>Exhibitions - outside in stadiums or on premises having grandstands or bleachers - ushers or other attendants in stands provided by the insured.</t>
  </si>
  <si>
    <t>Exhibitions - outside in stadiums or on premises having grandstands or bleachers not erected by or for the insured - ushers or other attendants in stands not provided by the insured.</t>
  </si>
  <si>
    <t>Exhibitions - outside - no stadiums or grandstands</t>
  </si>
  <si>
    <t>Fair grounds - Non Operating Season</t>
  </si>
  <si>
    <t>Fairs - inside</t>
  </si>
  <si>
    <t>Fairs - outside For Codes 7928 (f) &amp; (g), this classification excludes (a) mechanically operated amusement devices owned or operated by the insured. (b) automobile or motorcycle racing and stunting, (c) rodeos and (d) the ownership, maintenance or use of the premises during the period that the fair is not in progress.</t>
  </si>
  <si>
    <t>Special Events (Parades, etc.)</t>
  </si>
  <si>
    <t>Parades, Carnivals, Circus - Sponsor's Risk for Non-Profit Agencies</t>
  </si>
  <si>
    <t>Tennis, Badminton, Squash, Racquet - Commercial</t>
  </si>
  <si>
    <t>Clubs, Recreational</t>
  </si>
  <si>
    <t>Tennis, Badminton, Squash, Racquet - Private Courts Only</t>
  </si>
  <si>
    <t>Tennis, Badminton, Squash, Racquet - Premises owned or leased</t>
  </si>
  <si>
    <t xml:space="preserve">Golf and Country Club    </t>
  </si>
  <si>
    <t>Curling</t>
  </si>
  <si>
    <t>Gun or Rifle range indoor</t>
  </si>
  <si>
    <t>Gun or Rifle range outdoor</t>
  </si>
  <si>
    <t>Gun or Rifle range - skeet trap range</t>
  </si>
  <si>
    <t>Yachting</t>
  </si>
  <si>
    <t>Fish and Game, Hunting</t>
  </si>
  <si>
    <t>Health and Exercise</t>
  </si>
  <si>
    <t>Recreational - N.O.C. - commercial recreational centres</t>
  </si>
  <si>
    <t>Recreational - private recreational centres</t>
  </si>
  <si>
    <t>Recreational - swimming clubs</t>
  </si>
  <si>
    <t>Bingo Halls</t>
  </si>
  <si>
    <t>Clubs - Private Not Recreational - no alcohol</t>
  </si>
  <si>
    <t>Veteran's Halls (L)</t>
  </si>
  <si>
    <t>Race Track Operations - Not Motor Vehicles - Motor vehicles, see code 7922</t>
  </si>
  <si>
    <t>Ticket Agencies (Sports and Entertainment Events)</t>
  </si>
  <si>
    <t>Zoos, Commercial (Safari Parks, Aquaria);  See Public Section - Code 8293</t>
  </si>
  <si>
    <t>Amusement Park, Plyaground - No Amusement Devices</t>
  </si>
  <si>
    <t>Parks and Gardens (Not Municipal (See Government Services) or Amusement)</t>
  </si>
  <si>
    <t>Playground Area includes Slides, Swings, Wading Pools</t>
  </si>
  <si>
    <t>Amusement Devices - Not Coin Operated</t>
  </si>
  <si>
    <t>Amusement Devices - Others</t>
  </si>
  <si>
    <t>Arenas - Hockey, Ice, Roller Skating</t>
  </si>
  <si>
    <t>Arenas - Accommodating varied sporting and Other Activities (excluding hockey, ice, roller skating)</t>
  </si>
  <si>
    <t>Municipal Halls</t>
  </si>
  <si>
    <t>Dance Halls</t>
  </si>
  <si>
    <t xml:space="preserve">Fireworks Display               </t>
  </si>
  <si>
    <t>Riding Academy - With/Without Riding Rings</t>
  </si>
  <si>
    <t xml:space="preserve">Rinks, Outdoor                       </t>
  </si>
  <si>
    <t>Circus, Carnival, Travelling Amusement Companies</t>
  </si>
  <si>
    <t>Golf Courses - Municipal  - Commercial &amp; Private  (See 7932)</t>
  </si>
  <si>
    <t>Golf Driving Ranges</t>
  </si>
  <si>
    <t>Bathing Beaches</t>
  </si>
  <si>
    <t xml:space="preserve">Swimming Pools                           </t>
  </si>
  <si>
    <t>Saunas, Baths</t>
  </si>
  <si>
    <t xml:space="preserve">Ski Resorts    (Ski Shops  Code as 5932) </t>
  </si>
  <si>
    <t>Ski, Sightseeing - Tows and Lifts  - Chair Lifts, Gondola, add charges for non-lift or tow exposures</t>
  </si>
  <si>
    <t>Ski, Sightseeing - Tows and Lifts  - Rope Tow, add charges for non-lift or tow exposures</t>
  </si>
  <si>
    <t>Ski, Sightseeing - Tows and Lifts  - T-Bar, J-Bar, Platter Tow, add charges for non-lift or tow exposures</t>
  </si>
  <si>
    <t>Ski, Sightseeing - Tows and Lifts  - All other Tows or Lifts, add charges for non-lift or tow exposures</t>
  </si>
  <si>
    <t>Recreation Services  N.O.C.</t>
  </si>
  <si>
    <t xml:space="preserve">Gynecologists, Obstetricians       </t>
  </si>
  <si>
    <t>Health and Social Services</t>
  </si>
  <si>
    <t>Electrologists</t>
  </si>
  <si>
    <t>Health/Social_Services</t>
  </si>
  <si>
    <t>Gynaecologists</t>
  </si>
  <si>
    <t>Obstetricians</t>
  </si>
  <si>
    <t>Doctors and Physicians</t>
  </si>
  <si>
    <t>Acupuncturists</t>
  </si>
  <si>
    <t>Naturopaths (Registered)</t>
  </si>
  <si>
    <t xml:space="preserve">Surgeon Specialists           </t>
  </si>
  <si>
    <t>Psychiatrists and psychologists</t>
  </si>
  <si>
    <t>Ophthalmologists</t>
  </si>
  <si>
    <t>Oculists</t>
  </si>
  <si>
    <t>Radiation Specialists (incl. X-Ray, Infra-Red, Diathermy or Quartz Lamp)</t>
  </si>
  <si>
    <t>Dentists &amp; dental hygeinists</t>
  </si>
  <si>
    <t>Orthodontist and Periodontist</t>
  </si>
  <si>
    <t xml:space="preserve">Nurses, Registered                          </t>
  </si>
  <si>
    <t>Physiotherapists</t>
  </si>
  <si>
    <t>Occupational therapists</t>
  </si>
  <si>
    <t>Anaesthetists</t>
  </si>
  <si>
    <t>Chiropractors</t>
  </si>
  <si>
    <t>Optometrists including retail sales</t>
  </si>
  <si>
    <t>Optometrists (no retail)</t>
  </si>
  <si>
    <t>Opticians</t>
  </si>
  <si>
    <t>Osteopaths</t>
  </si>
  <si>
    <t>Podiatrist</t>
  </si>
  <si>
    <t>Chiropodist</t>
  </si>
  <si>
    <t>Dermatologists</t>
  </si>
  <si>
    <t>Audiologists, Hearing aid Services - including retail sales</t>
  </si>
  <si>
    <t>Audiologists, Hearing aid Services - no retail sales</t>
  </si>
  <si>
    <t xml:space="preserve">Vibrator Machine Operators     </t>
  </si>
  <si>
    <t>Registered Massage Therapists, Masseurs</t>
  </si>
  <si>
    <t>Health/Social Services</t>
  </si>
  <si>
    <t xml:space="preserve">Hospitals                                        </t>
  </si>
  <si>
    <t>Clinics - Not Doctor's or Dentist's Offices</t>
  </si>
  <si>
    <t>X-Ray, Infra-red, Diathermy or Quartz Lamp Machines</t>
  </si>
  <si>
    <t>Radioisotope Exposure</t>
  </si>
  <si>
    <t>Hospital Residences - Nurses and/or Hospital Staff</t>
  </si>
  <si>
    <t>Abortion Facilities  (Outpatient)</t>
  </si>
  <si>
    <t xml:space="preserve">Convalescent Homes, Nursing Homes, Rest Homes </t>
  </si>
  <si>
    <t xml:space="preserve">Senior Citizen Care Facilities               </t>
  </si>
  <si>
    <t xml:space="preserve">Mental Health Care Facilities                 </t>
  </si>
  <si>
    <t xml:space="preserve">Sanitaria - No Surgical Operating Room Facilities </t>
  </si>
  <si>
    <t xml:space="preserve">Rehabilition Centres - No Surgical Operating Room Facilities              </t>
  </si>
  <si>
    <t>Health and Medical Services - N.O.C. (Non-Institutional   (excluding 8080 (b)&amp;(c)))</t>
  </si>
  <si>
    <t>Laser Therapy</t>
  </si>
  <si>
    <t>Social Services - Other than Day Care;  Non-Institutional Health/Medical N.O.C.</t>
  </si>
  <si>
    <t>Hypnotherapist</t>
  </si>
  <si>
    <t>Nutritionists</t>
  </si>
  <si>
    <t>Medical &amp; Health Laboratories -Analysing</t>
  </si>
  <si>
    <t>Medical &amp; Health Laboratories -Research</t>
  </si>
  <si>
    <t>Dental Laboratories, Denturists</t>
  </si>
  <si>
    <t xml:space="preserve">Associations and Agencies  (Advocacy, Planning, Research, Standards) </t>
  </si>
  <si>
    <t>Social, Consulting and Counselling  Excluding professional liability</t>
  </si>
  <si>
    <t>Registered dietitians</t>
  </si>
  <si>
    <t>Lawyers, Barristers &amp; Solicitors</t>
  </si>
  <si>
    <t>Notaries or Public Notaries</t>
  </si>
  <si>
    <t>Hobby Supplies</t>
  </si>
  <si>
    <t>Libraries</t>
  </si>
  <si>
    <t>Art Galleries, Public</t>
  </si>
  <si>
    <t>Museums - Public</t>
  </si>
  <si>
    <t>Zoos, Public</t>
  </si>
  <si>
    <t>Day Care, Nursery Schools, Kindergarten Schools, Private Schools</t>
  </si>
  <si>
    <t>Educational Services</t>
  </si>
  <si>
    <t>Elementary</t>
  </si>
  <si>
    <t>Secondary including Junior High</t>
  </si>
  <si>
    <t>Private Schools  (Supported primarily by tuition fees)  Elementary and Secondary levels</t>
  </si>
  <si>
    <t xml:space="preserve">Post Secondary (University, Community Colleges, CEGEP and Polytechnical schools)  </t>
  </si>
  <si>
    <t>Dance, Gymnastic, Martial Arts, Music Schools</t>
  </si>
  <si>
    <t>Schools N.O.C - Business Colleges</t>
  </si>
  <si>
    <t>Schools N.O.C - Trade or Vocational Schools</t>
  </si>
  <si>
    <t>Schools N.O.C - Music School</t>
  </si>
  <si>
    <t>Piano Lessons</t>
  </si>
  <si>
    <t>Education</t>
  </si>
  <si>
    <t xml:space="preserve">Professional and Business Associations  </t>
  </si>
  <si>
    <t>Labour Organizations</t>
  </si>
  <si>
    <t>Boy Scouts, Girl Guides or Similar Groups</t>
  </si>
  <si>
    <t>Y.M.C.A., Y.W.C.A., Y.M.H.A., Y.W.H.A.</t>
  </si>
  <si>
    <t>Community Centres</t>
  </si>
  <si>
    <t>Civic, Community, Special Interest  (Non-Medical) Organizations</t>
  </si>
  <si>
    <t>Service Clubs and Fraternal Organizations -Insurance or Benefit Paying</t>
  </si>
  <si>
    <t xml:space="preserve">Service Clubs and Fraternal Organizations -No Insurance or Benefit Paying     </t>
  </si>
  <si>
    <t>Snowmobile Clubs</t>
  </si>
  <si>
    <t>Churches, Synagogues, Temples</t>
  </si>
  <si>
    <t>Convents, Monasteries</t>
  </si>
  <si>
    <t>Fund Raising Activities Operated by Charitable or Religious Bodies</t>
  </si>
  <si>
    <t>Scientific Services N.O.C. , Incl. Non-Medical Laboratories</t>
  </si>
  <si>
    <t xml:space="preserve">Marine Appraiser </t>
  </si>
  <si>
    <t>Land surveyor</t>
  </si>
  <si>
    <t>Boiler &amp; Elevator Inspection</t>
  </si>
  <si>
    <t xml:space="preserve">Geophysical Services Including Soil Testing </t>
  </si>
  <si>
    <t>Architects - Buildings</t>
  </si>
  <si>
    <t>Architects - Landscape</t>
  </si>
  <si>
    <t>Engineers including consulting</t>
  </si>
  <si>
    <t>Inspection (Mercantile/Manufacturing) for Insurance, Valuation</t>
  </si>
  <si>
    <t>Computer Software Developers</t>
  </si>
  <si>
    <t>Basic Charges: Population</t>
  </si>
  <si>
    <t>Government &amp; Public Services</t>
  </si>
  <si>
    <t>Plus the Following:  Animal Control</t>
  </si>
  <si>
    <t xml:space="preserve">Plus the Following:   Dams    </t>
  </si>
  <si>
    <t>Police Operations</t>
  </si>
  <si>
    <t>Fire Department -Paid</t>
  </si>
  <si>
    <t>Fire Department -Volunteer (excludes Worker's Compensation)</t>
  </si>
  <si>
    <t>Parks &amp; Botanical Gardens</t>
  </si>
  <si>
    <t>Road Charge  -  Counties</t>
  </si>
  <si>
    <t>Road Charge  -  Townships</t>
  </si>
  <si>
    <t>Tax Collectors, Secretary/Treasurers including School Boards</t>
  </si>
  <si>
    <t>Municipal - Other Public Officials</t>
  </si>
  <si>
    <t>Municipal - Garage and Equipment Storage</t>
  </si>
  <si>
    <t>Municipal - Administration or Office Building</t>
  </si>
  <si>
    <t>Prisons, Jails, Penal Institutions, Correctional Centres</t>
  </si>
  <si>
    <t>Other - Provide further info.</t>
  </si>
  <si>
    <t>Ear Piercing - Gun and Stud method only</t>
  </si>
  <si>
    <t>Beauty</t>
  </si>
  <si>
    <t>Eyebrows</t>
  </si>
  <si>
    <t>Eyelash Extensions</t>
  </si>
  <si>
    <t>Hair Extensions</t>
  </si>
  <si>
    <t>Hairdressing</t>
  </si>
  <si>
    <t>Fake Nails</t>
  </si>
  <si>
    <t>Makeup artist</t>
  </si>
  <si>
    <t>Microblading / Micropigmentation</t>
  </si>
  <si>
    <t>CGL</t>
  </si>
  <si>
    <t>yes/No</t>
  </si>
  <si>
    <t>Distance from Fire Hall (KM)</t>
  </si>
  <si>
    <t>Age of property (years)</t>
  </si>
  <si>
    <t>Total receipts</t>
  </si>
  <si>
    <t>Students / boarders</t>
  </si>
  <si>
    <t>Aux Heating</t>
  </si>
  <si>
    <t>Any element vacant</t>
  </si>
  <si>
    <t>Any element of property vacant?</t>
  </si>
  <si>
    <t>Woodworking in property</t>
  </si>
  <si>
    <t>Buildings limit Required</t>
  </si>
  <si>
    <t>Industry Code</t>
  </si>
  <si>
    <t>Additional Coverages Limit</t>
  </si>
  <si>
    <t>Sewer / Sump Cover</t>
  </si>
  <si>
    <t>Glass / Signs Deductible Buydown</t>
  </si>
  <si>
    <t>Cyber One</t>
  </si>
  <si>
    <t xml:space="preserve">CyberOne Coverage - Computer Attack and Network Security Liability Endorsement </t>
  </si>
  <si>
    <t>$50,000 Limit, $2,500 deductible</t>
  </si>
  <si>
    <t>$50,000 Limit, $5,000 deductible</t>
  </si>
  <si>
    <t>$50,000 Limit, $10,000 deductible</t>
  </si>
  <si>
    <t>$100,000 Limit, $5,000 deductible</t>
  </si>
  <si>
    <t>$100,000 Limit, $10,000 deductible</t>
  </si>
  <si>
    <t>Rule</t>
  </si>
  <si>
    <t>Section 1 – Computer Attack</t>
  </si>
  <si>
    <t xml:space="preserve"> Annual Aggregate</t>
  </si>
  <si>
    <t>Deductible Per Occurrence</t>
  </si>
  <si>
    <t>Sublimits – Any one “computer attack”</t>
  </si>
  <si>
    <t>Data Restoration</t>
  </si>
  <si>
    <t>Data Re-creation</t>
  </si>
  <si>
    <t>System Restoration – Included</t>
  </si>
  <si>
    <t>Loss of Business</t>
  </si>
  <si>
    <t>Public Relations</t>
  </si>
  <si>
    <t>Section 2 – Network Security Liability</t>
  </si>
  <si>
    <t>Network Security Liability cannot be purchased without Computer Attack</t>
  </si>
  <si>
    <t>Annual Aggregate</t>
  </si>
  <si>
    <t xml:space="preserve"> Optional – 3rd Party Business Information – Included</t>
  </si>
  <si>
    <t>Supplemental Extended Reporting Period Endorsement</t>
  </si>
  <si>
    <t>Contact underwriting for supplemental reporting</t>
  </si>
  <si>
    <t>$50,000 Limit, $1,000 deductible</t>
  </si>
  <si>
    <t xml:space="preserve">Coverage Description </t>
  </si>
  <si>
    <t xml:space="preserve">Data Compromise Coverage Endorsement </t>
  </si>
  <si>
    <t>Section I - Response Expenses (Annual Aggregate)</t>
  </si>
  <si>
    <t>Deductible - Any one “Personal Data Compromise”</t>
  </si>
  <si>
    <t>{amount}</t>
  </si>
  <si>
    <t>Sub-limits – Any one “Personal Data Compromise”</t>
  </si>
  <si>
    <t>Named Malware (Section I)</t>
  </si>
  <si>
    <t>Coverage 1 – Forensic Information Technology Review</t>
  </si>
  <si>
    <t>Coverage 2 – Legal Review</t>
  </si>
  <si>
    <t>Coverage 3 – Notification to Affected Individuals - included</t>
  </si>
  <si>
    <t>Coverage 4 – Services to Affected Individuals - included</t>
  </si>
  <si>
    <t>Coverage 5 – Public Relations Services</t>
  </si>
  <si>
    <t>Section  2- Defense and Liability (Annual Aggregate)</t>
  </si>
  <si>
    <t>Data Compromise, Section  2- Defense and Liability cannot be purchased without Section I</t>
  </si>
  <si>
    <t>Deductible - Any one "Data Compromise Suit"</t>
  </si>
  <si>
    <t>Sub-limits - any one "Data Compromise Suit"</t>
  </si>
  <si>
    <t>Named Malware (Section II)</t>
  </si>
  <si>
    <t>Data Re-Creation</t>
  </si>
  <si>
    <t>System Restoration</t>
  </si>
  <si>
    <t>Loss of business</t>
  </si>
  <si>
    <t>Public relations</t>
  </si>
  <si>
    <t>Network security liability</t>
  </si>
  <si>
    <t>Third party business information</t>
  </si>
  <si>
    <t>Forensic IT review</t>
  </si>
  <si>
    <t>Legal review</t>
  </si>
  <si>
    <t>Notification to affected individuals</t>
  </si>
  <si>
    <t>Services to affected individuals</t>
  </si>
  <si>
    <t>PR review</t>
  </si>
  <si>
    <t>Data breach liability</t>
  </si>
  <si>
    <t>Cyber crime limit</t>
  </si>
  <si>
    <t>Cyber breach notification limit</t>
  </si>
  <si>
    <t>Cyber privacy liability limit</t>
  </si>
  <si>
    <t>Cyber Crime Coverage (Cyber One)</t>
  </si>
  <si>
    <t>Cyber Crime Options</t>
  </si>
  <si>
    <t>CyberOne coverage limit</t>
  </si>
  <si>
    <t>Cyber One Deductibles</t>
  </si>
  <si>
    <t>Data Compromise Deductibles</t>
  </si>
  <si>
    <t>Crime Options</t>
  </si>
  <si>
    <t>Operations (click on + button to add trades)</t>
  </si>
  <si>
    <t>Your business only</t>
  </si>
  <si>
    <t>Your business and other tenants</t>
  </si>
  <si>
    <t>Other tenants only</t>
  </si>
  <si>
    <t>No-one, it's vacant</t>
  </si>
  <si>
    <t>It's under construction or yet to be built</t>
  </si>
  <si>
    <t>Occupancy: Who occupies your property?</t>
  </si>
  <si>
    <t>Which type of tenants are in the property?</t>
  </si>
  <si>
    <t>Restaurant / hospitality</t>
  </si>
  <si>
    <t>Manufacturing</t>
  </si>
  <si>
    <t>Warehouse / storage</t>
  </si>
  <si>
    <t>Residential</t>
  </si>
  <si>
    <t>Auto trade</t>
  </si>
  <si>
    <t>Vacant: Is any element of the property currenty vacant?</t>
  </si>
  <si>
    <t>Type of Property</t>
  </si>
  <si>
    <t>Floor construction</t>
  </si>
  <si>
    <t>Concrete</t>
  </si>
  <si>
    <t>Steel</t>
  </si>
  <si>
    <t>Wood / Frame</t>
  </si>
  <si>
    <t>Unknown</t>
  </si>
  <si>
    <t>Does property have a basement?</t>
  </si>
  <si>
    <t xml:space="preserve">Yes </t>
  </si>
  <si>
    <t>Heating Type</t>
  </si>
  <si>
    <t>Forced air / gas</t>
  </si>
  <si>
    <t>Steam / Water boiler</t>
  </si>
  <si>
    <t>Geothermal</t>
  </si>
  <si>
    <t>Electric</t>
  </si>
  <si>
    <t>Radiant Heating</t>
  </si>
  <si>
    <t>Solid Fuel</t>
  </si>
  <si>
    <t>Electrical</t>
  </si>
  <si>
    <t>Fuses</t>
  </si>
  <si>
    <t>Knob and tube</t>
  </si>
  <si>
    <t>Aluminum</t>
  </si>
  <si>
    <t>Fuse Amperage</t>
  </si>
  <si>
    <t>&lt; 30 amps</t>
  </si>
  <si>
    <t>30-59 amps</t>
  </si>
  <si>
    <t>60-99 amps</t>
  </si>
  <si>
    <t>100-149 amps</t>
  </si>
  <si>
    <t>150 - 199 amps</t>
  </si>
  <si>
    <t>200 + amps</t>
  </si>
  <si>
    <t>Is property fitted with a fire extinguishing / sprinkler system</t>
  </si>
  <si>
    <t>What type of fire system?</t>
  </si>
  <si>
    <t>Portable extinguishers</t>
  </si>
  <si>
    <t>Sprinkler</t>
  </si>
  <si>
    <t>Combination of portable &amp; Sprinkler</t>
  </si>
  <si>
    <t>Is property fitted with fire extinguishing protection?</t>
  </si>
  <si>
    <t>What type of fire extinguishing protection?</t>
  </si>
  <si>
    <t>Who occupies property?</t>
  </si>
  <si>
    <t>What type of tenants (if relevant)</t>
  </si>
  <si>
    <t>Amperage (if fuse)</t>
  </si>
  <si>
    <t>Occupancy status</t>
  </si>
  <si>
    <t>Construction type (walls)</t>
  </si>
  <si>
    <t>Construction type (floor)</t>
  </si>
  <si>
    <t>Wall construction</t>
  </si>
  <si>
    <t>Poured concrete</t>
  </si>
  <si>
    <t>Concrete block</t>
  </si>
  <si>
    <t>Steel on steel</t>
  </si>
  <si>
    <t>Wood</t>
  </si>
  <si>
    <t>Masonry non-combustible</t>
  </si>
  <si>
    <t>Basement</t>
  </si>
  <si>
    <t>Is there Property?</t>
  </si>
  <si>
    <t>Property postalcode</t>
  </si>
  <si>
    <t>Electrical Type (Acceptance Criteria)</t>
  </si>
  <si>
    <t>Electrical Type</t>
  </si>
  <si>
    <t>Fuse Type</t>
  </si>
  <si>
    <t>Accept</t>
  </si>
  <si>
    <t>Decline</t>
  </si>
  <si>
    <t>Send to Acceptance</t>
  </si>
  <si>
    <t>Mapped acceptability</t>
  </si>
  <si>
    <t>Is there any auxillary heating?</t>
  </si>
  <si>
    <t>Does the property have underground oil tanks?</t>
  </si>
  <si>
    <t>Underground oil tanks?</t>
  </si>
  <si>
    <t>Underground Tanks</t>
  </si>
  <si>
    <t>Construction</t>
  </si>
  <si>
    <t>Contents Coverage</t>
  </si>
  <si>
    <t>Crime Coverage</t>
  </si>
  <si>
    <t>Crime Coverage Type</t>
  </si>
  <si>
    <t>General coverage type</t>
  </si>
  <si>
    <t>Money &amp; Securities Broadform</t>
  </si>
  <si>
    <t>Cyber - Data Restoration</t>
  </si>
  <si>
    <t>Cyber - Data Re-Creation</t>
  </si>
  <si>
    <t>Cyber - System Restoration</t>
  </si>
  <si>
    <t>Cyber - Loss of business</t>
  </si>
  <si>
    <t>Cyber - Public relations</t>
  </si>
  <si>
    <t>Cyber - Network security liability</t>
  </si>
  <si>
    <t>Cyber - Third party business information</t>
  </si>
  <si>
    <t>Cyber - Forensic IT review</t>
  </si>
  <si>
    <t>Cyber - Legal review</t>
  </si>
  <si>
    <t>Cyber - Notification to affected individuals</t>
  </si>
  <si>
    <t>Cyber - Services to affected individuals</t>
  </si>
  <si>
    <t>Cyber - PR review</t>
  </si>
  <si>
    <t>Cyber - Data breach liability</t>
  </si>
  <si>
    <t>Send to Rating</t>
  </si>
  <si>
    <t>Crime Coverage adequate for Contents - ** INSTEAD OF DECLINING, WE WILL INSTEAD OVERRIDE TO AUTO INCLUDE CRIME FOR CERTAIN CONTENTS LIMITS ***</t>
  </si>
  <si>
    <t>Chosen Crime type</t>
  </si>
  <si>
    <t>Contents Forced</t>
  </si>
  <si>
    <t>Operation Forced</t>
  </si>
  <si>
    <t>Final Crime Type</t>
  </si>
  <si>
    <t>Comp 3D including loss to 3rd Party</t>
  </si>
  <si>
    <t>Limits Requested</t>
  </si>
  <si>
    <t>Crime Coverage adequate for Contents - ** WHERE OPS ARE JANITORIAL, MINIMUM 3D WITH 3RD PARTY INCLUDED ***</t>
  </si>
  <si>
    <t>Crime Condition</t>
  </si>
  <si>
    <t>Crime cover condition applies?</t>
  </si>
  <si>
    <t>Crime Note</t>
  </si>
  <si>
    <t>20% Note</t>
  </si>
  <si>
    <t>Operation Min Crime Condition</t>
  </si>
  <si>
    <t>Built in rules</t>
  </si>
  <si>
    <t>Equipment breakdown Limit</t>
  </si>
  <si>
    <t>Business Interruption Coverage</t>
  </si>
  <si>
    <t>Business Interruption Type</t>
  </si>
  <si>
    <t>Profits</t>
  </si>
  <si>
    <t>Do we always include the $10K - even when no property coverage?</t>
  </si>
  <si>
    <t>Multi-residential</t>
  </si>
  <si>
    <t>Marina</t>
  </si>
  <si>
    <t>Shopping mall</t>
  </si>
  <si>
    <t>Warehouse</t>
  </si>
  <si>
    <t>Factory</t>
  </si>
  <si>
    <t>Gas Station</t>
  </si>
  <si>
    <t>Plaza / Mixed Commercial Use</t>
  </si>
  <si>
    <t>Is building detached?</t>
  </si>
  <si>
    <t>Is property detached</t>
  </si>
  <si>
    <t>Is property detached?</t>
  </si>
  <si>
    <t>Detached Property Discount?</t>
  </si>
  <si>
    <t>Type of Floor</t>
  </si>
  <si>
    <t>Owner Occuped</t>
  </si>
  <si>
    <t>Occupancy Type</t>
  </si>
  <si>
    <t>Claims Free Discount</t>
  </si>
  <si>
    <t>Number of Claims</t>
  </si>
  <si>
    <t>Property Deductible</t>
  </si>
  <si>
    <t>CGL Property Damage Deductible</t>
  </si>
  <si>
    <t>Flood Limit Requested</t>
  </si>
  <si>
    <t>Cover level (Gold, Silver, Bronze)</t>
  </si>
  <si>
    <t>Property value</t>
  </si>
  <si>
    <t>Fixed property value $2M maximum</t>
  </si>
  <si>
    <t>Property off premises and in transit</t>
  </si>
  <si>
    <t>Automatic coverage for new contents</t>
  </si>
  <si>
    <t>Automatic coverage for new buildings</t>
  </si>
  <si>
    <t>L9W6C3</t>
  </si>
  <si>
    <t>Broadform Buildings coverage</t>
  </si>
  <si>
    <t>Contents Broadform coverage</t>
  </si>
  <si>
    <t>This is the product as represented by the insurer</t>
  </si>
  <si>
    <t>Quotey Coverage Name (mapping)</t>
  </si>
  <si>
    <t>OUTPUT BACK TO QUOTEY</t>
  </si>
  <si>
    <t xml:space="preserve">This is what Quotey should pick up </t>
  </si>
  <si>
    <t>coverName</t>
  </si>
  <si>
    <t>coverID</t>
  </si>
  <si>
    <t>Flag Notes</t>
  </si>
  <si>
    <t>INSURER RESPONSE</t>
  </si>
  <si>
    <t>Arson reward</t>
  </si>
  <si>
    <t>Bailees customer form</t>
  </si>
  <si>
    <t>Blanket by laws</t>
  </si>
  <si>
    <t>Brands and labels</t>
  </si>
  <si>
    <t>Broadform Building coverage</t>
  </si>
  <si>
    <t>Business Contents</t>
  </si>
  <si>
    <t>Bylaws - additional time to rebuild</t>
  </si>
  <si>
    <t>Catch-all Clause</t>
  </si>
  <si>
    <t>Co-insurance condition</t>
  </si>
  <si>
    <t>Co-insurance waiver</t>
  </si>
  <si>
    <t>Condominium contingent</t>
  </si>
  <si>
    <t>Condominium loss assessment</t>
  </si>
  <si>
    <t>Consequential loss</t>
  </si>
  <si>
    <t>Contents at newly acquired locations</t>
  </si>
  <si>
    <t>Contents at unnamed locations</t>
  </si>
  <si>
    <t>Contents of others</t>
  </si>
  <si>
    <t>Contract penalty coverage</t>
  </si>
  <si>
    <t>Contractor's equipment</t>
  </si>
  <si>
    <t>Contractor's equipment - co-insurance</t>
  </si>
  <si>
    <t>Contractors equipment - fire department charges</t>
  </si>
  <si>
    <t>Contractors equipment - loss of use</t>
  </si>
  <si>
    <t>Contractors equipment - sinking into muskeg or ice</t>
  </si>
  <si>
    <t>Contractor's equipment replacement cost</t>
  </si>
  <si>
    <t>Conviction reward</t>
  </si>
  <si>
    <t>Data coverage</t>
  </si>
  <si>
    <t>Eco-friendly coverage enhancement</t>
  </si>
  <si>
    <t>Electronic data processing</t>
  </si>
  <si>
    <t>Electronic data processing equipment (off premises)</t>
  </si>
  <si>
    <t>Exhibition insurance</t>
  </si>
  <si>
    <t>Expediting expenses</t>
  </si>
  <si>
    <t>Exterior glass</t>
  </si>
  <si>
    <t>Exterior signs</t>
  </si>
  <si>
    <t>Extinguishing System warranty</t>
  </si>
  <si>
    <t>Fine arts</t>
  </si>
  <si>
    <t>Fire department charges</t>
  </si>
  <si>
    <t>Fire suppression recharge</t>
  </si>
  <si>
    <t>Growing plants, trees, shrubs (per item)</t>
  </si>
  <si>
    <t>Home office extension</t>
  </si>
  <si>
    <t>Inflation protection</t>
  </si>
  <si>
    <t>Installation form / floater</t>
  </si>
  <si>
    <t>Leased, rented or borrowed equipment</t>
  </si>
  <si>
    <t>Leasehold interest - rents</t>
  </si>
  <si>
    <t>Master key coverage</t>
  </si>
  <si>
    <t>Mortgage rate guarantee</t>
  </si>
  <si>
    <t>Newly acquired buildings</t>
  </si>
  <si>
    <t>Newly acquired business contents</t>
  </si>
  <si>
    <t>Newly acquired equipment</t>
  </si>
  <si>
    <t>Newly acquired locations</t>
  </si>
  <si>
    <t>Off-premises service interruption</t>
  </si>
  <si>
    <t>Parcel post</t>
  </si>
  <si>
    <t>Pavement, Sidewalk and Driveways</t>
  </si>
  <si>
    <t>Personal effects and property of employees and others</t>
  </si>
  <si>
    <t>Pollution clean-up and removal (insured premises)</t>
  </si>
  <si>
    <t>Preservation of property</t>
  </si>
  <si>
    <t>Professional fees for proving a loss</t>
  </si>
  <si>
    <t>Rental reimbursement</t>
  </si>
  <si>
    <t>Replacement cost - property of every description</t>
  </si>
  <si>
    <t>Replacement cost - tools</t>
  </si>
  <si>
    <t>Seasonal increase to business contents limit</t>
  </si>
  <si>
    <t>Sewer Backup</t>
  </si>
  <si>
    <t>Tenants damage by vandalism exclusion</t>
  </si>
  <si>
    <t>Tools aggregate limit</t>
  </si>
  <si>
    <t>Tools single item limit</t>
  </si>
  <si>
    <t>Water damage deductible</t>
  </si>
  <si>
    <t>Absolute pollution exclusion endorsement</t>
  </si>
  <si>
    <t>Broad form completed operations</t>
  </si>
  <si>
    <t>Care, custody and control</t>
  </si>
  <si>
    <t>Commercial general liability</t>
  </si>
  <si>
    <t>Condominium special assessment</t>
  </si>
  <si>
    <t>Contingent wrap-up liability including diff in conditions</t>
  </si>
  <si>
    <t>Contingent wrap-up liability including diff in deductibles</t>
  </si>
  <si>
    <t>Contractors Errors &amp; Ommissions</t>
  </si>
  <si>
    <t>Damage from Blasting, Pile Driving, Removal or Weakening of Support</t>
  </si>
  <si>
    <t>Elevator and Hoist collision</t>
  </si>
  <si>
    <t>Employee benefits liability</t>
  </si>
  <si>
    <t>Employer's liability</t>
  </si>
  <si>
    <t>Failure to perform</t>
  </si>
  <si>
    <t>Faulty workmanship</t>
  </si>
  <si>
    <t>Forest and Prairie Fire Fighting Expense</t>
  </si>
  <si>
    <t>Fungi and fungal derivatives</t>
  </si>
  <si>
    <t>General aggregate of liability</t>
  </si>
  <si>
    <t>Limitation of coverages to designated premises</t>
  </si>
  <si>
    <t>Limited Pollution Liability</t>
  </si>
  <si>
    <t>Medical expense per person</t>
  </si>
  <si>
    <t>Non-Owned Auto - SEF 94 - Hired Autos</t>
  </si>
  <si>
    <t>Non-owned auto</t>
  </si>
  <si>
    <t>Non-Owned Auto - OEF 98B</t>
  </si>
  <si>
    <t>Non-Owned Auto - SEF 96 - Contractual liability</t>
  </si>
  <si>
    <t>Non-Owned Auto - SEF 99 - Excluding long term leased vehicles</t>
  </si>
  <si>
    <t>Personal &amp; Advertising injury</t>
  </si>
  <si>
    <t>Riggers Liability Coverage</t>
  </si>
  <si>
    <t>Rip and Tear</t>
  </si>
  <si>
    <t>Tenant's legal liability - broad form</t>
  </si>
  <si>
    <t>Voluntary property damage</t>
  </si>
  <si>
    <t>Computer fraud</t>
  </si>
  <si>
    <t>Credit Card Forgery</t>
  </si>
  <si>
    <t>Depositors forgery</t>
  </si>
  <si>
    <t>Employee dishonesty</t>
  </si>
  <si>
    <t>Funds Transfer Fraud</t>
  </si>
  <si>
    <t>Identity Theft</t>
  </si>
  <si>
    <t>Incoming cheque forgery</t>
  </si>
  <si>
    <t>Loss inside the premises</t>
  </si>
  <si>
    <t>Loss outside the premises</t>
  </si>
  <si>
    <t>Medical expense from robbery</t>
  </si>
  <si>
    <t>Money orders &amp; counterfeit currency</t>
  </si>
  <si>
    <t>Theft from custodian's home</t>
  </si>
  <si>
    <t>Third Party Bond</t>
  </si>
  <si>
    <t>Bodily injury</t>
  </si>
  <si>
    <t>Contract disputes and debt recovery</t>
  </si>
  <si>
    <t>Employment disputes</t>
  </si>
  <si>
    <t>Legal defence</t>
  </si>
  <si>
    <t>Property protection</t>
  </si>
  <si>
    <t>Statutory license protection</t>
  </si>
  <si>
    <t>Tax protection</t>
  </si>
  <si>
    <t>Unlimited legal assistance (helpline)</t>
  </si>
  <si>
    <t>Covermatch</t>
  </si>
  <si>
    <t>Contents broadform coverage</t>
  </si>
  <si>
    <t>Inside Robbery</t>
  </si>
  <si>
    <t>Outside Robbery</t>
  </si>
  <si>
    <t>Third party bond</t>
  </si>
  <si>
    <t>Employee Dishonesty</t>
  </si>
  <si>
    <t>Money orders and counterfeit currency</t>
  </si>
  <si>
    <t>Depositors Forgery</t>
  </si>
  <si>
    <t>Inside / outside robbery</t>
  </si>
  <si>
    <t>Crime - Inside Robbery</t>
  </si>
  <si>
    <t>Crime - Outside Robbery</t>
  </si>
  <si>
    <t>Crime - Theft from Custodian's Home</t>
  </si>
  <si>
    <t>Crime - Employee Dishonesty</t>
  </si>
  <si>
    <t>Crime - Money Orders &amp; Counterfeit Currency</t>
  </si>
  <si>
    <t>Crime - Depositors Forgery</t>
  </si>
  <si>
    <t>Crime - Third Party Bond</t>
  </si>
  <si>
    <t>Acceptable heating type</t>
  </si>
  <si>
    <t>Oil</t>
  </si>
  <si>
    <t>Installation Floater ($10k / location, $5K transit,$50K aggregate</t>
  </si>
  <si>
    <t>Contractors Equipment (single item maximum)</t>
  </si>
  <si>
    <t>Contractor's equipment - single item maximum</t>
  </si>
  <si>
    <t>Risk is not claims free for 3 years</t>
  </si>
  <si>
    <t>Account is sub-brokered</t>
  </si>
  <si>
    <t>Refer / Decline reason</t>
  </si>
  <si>
    <t>Previous cancellations, declination or refusals to renew</t>
  </si>
  <si>
    <t>Property is held for speculaton, urban development or demolishing</t>
  </si>
  <si>
    <t>Operation #1 not acceptable</t>
  </si>
  <si>
    <t>Operation #2 not acceptable</t>
  </si>
  <si>
    <t>Operation #3 not acceptable</t>
  </si>
  <si>
    <t>Operation #4 not acceptable</t>
  </si>
  <si>
    <t>Operation #5 not acceptable</t>
  </si>
  <si>
    <t>Operation #6 not acceptable</t>
  </si>
  <si>
    <t>Operation #7 not acceptable</t>
  </si>
  <si>
    <t>Operation #8 not acceptable</t>
  </si>
  <si>
    <t>Operation #9 not acceptable</t>
  </si>
  <si>
    <t>Operation #10 not acceptable</t>
  </si>
  <si>
    <t>Student occuapancy</t>
  </si>
  <si>
    <t>Roomers / boarder occupancy</t>
  </si>
  <si>
    <t>Premises has wood burning device</t>
  </si>
  <si>
    <t>Premises has underground fuel tanks</t>
  </si>
  <si>
    <t>Heating type not acceptable</t>
  </si>
  <si>
    <t>Client does not  have minimum trade experience</t>
  </si>
  <si>
    <t>Greater than 10 employees</t>
  </si>
  <si>
    <t>Client is selling, renting or leasing equipment</t>
  </si>
  <si>
    <t>Receipts over quotable limit</t>
  </si>
  <si>
    <t>Woodworking on premises</t>
  </si>
  <si>
    <t>Property is &gt; 25 years</t>
  </si>
  <si>
    <t>Vacant property</t>
  </si>
  <si>
    <t>Crime protection levels</t>
  </si>
  <si>
    <t>Presence of woodstoves, space heaters, commercial DFF in building</t>
  </si>
  <si>
    <t>Operation #1 cannot be above 20% in commercial receipts</t>
  </si>
  <si>
    <t>Operation #2 cannot be above 20% in commercial receipts</t>
  </si>
  <si>
    <t>Operation #3 cannot be above 20% in commercial receipts</t>
  </si>
  <si>
    <t>Operation #4 cannot be above 20% in commercial receipts</t>
  </si>
  <si>
    <t>Operation #5 cannot be above 20% in commercial receipts</t>
  </si>
  <si>
    <t>Operation #6 cannot be above 20% in commercial receipts</t>
  </si>
  <si>
    <t>Operation #7 cannot be above 20% in commercial receipts</t>
  </si>
  <si>
    <t>Operation #8 cannot be above 20% in commercial receipts</t>
  </si>
  <si>
    <t>Operation #9 cannot be above 20% in commercial receipts</t>
  </si>
  <si>
    <t>Operation #10 cannot be above 20% in commercial receipts</t>
  </si>
  <si>
    <t>Property value &gt; $2M</t>
  </si>
  <si>
    <t>Gross rents</t>
  </si>
  <si>
    <t>Commercial General Liability Aggregate</t>
  </si>
  <si>
    <t>Exclude</t>
  </si>
  <si>
    <t>Flood deductible</t>
  </si>
  <si>
    <t>Tools co-insurance</t>
  </si>
  <si>
    <t>Loss of earnings</t>
  </si>
  <si>
    <t>Kidnap and ransom</t>
  </si>
  <si>
    <t>Wrap-up liability</t>
  </si>
  <si>
    <t>Additional property damage exclusion</t>
  </si>
  <si>
    <t>Basic rental income</t>
  </si>
  <si>
    <t>Basic Rental income</t>
  </si>
  <si>
    <t>Occupied by insured's business only</t>
  </si>
  <si>
    <t>Property occupied by others</t>
  </si>
  <si>
    <t>Property occupancy type</t>
  </si>
  <si>
    <t>Rent Coverage</t>
  </si>
  <si>
    <t>Forgery or Alteration</t>
  </si>
  <si>
    <t>Crime - Incoming cheque forgery</t>
  </si>
  <si>
    <t>Crime - Forgery or Alteration</t>
  </si>
  <si>
    <t>175604</t>
  </si>
  <si>
    <t>173102</t>
  </si>
  <si>
    <t>Contents Broadform Coverage</t>
  </si>
  <si>
    <t>Insured Province</t>
  </si>
  <si>
    <t xml:space="preserve">  - Op 6 Revenues</t>
  </si>
  <si>
    <t xml:space="preserve">  - Op 6 % Residential</t>
  </si>
  <si>
    <t xml:space="preserve">  - Op 6 % Commercial</t>
  </si>
  <si>
    <t xml:space="preserve">  - Op 7 Revenues</t>
  </si>
  <si>
    <t xml:space="preserve">  - Op 7 % Residential</t>
  </si>
  <si>
    <t xml:space="preserve">  - Op 7 % Commercial</t>
  </si>
  <si>
    <t xml:space="preserve">  - Op 8 Revenues</t>
  </si>
  <si>
    <t xml:space="preserve">  - Op 8 % Residential</t>
  </si>
  <si>
    <t xml:space="preserve">  - Op 8 % Commercial</t>
  </si>
  <si>
    <t xml:space="preserve">  - Op 9 Revenues</t>
  </si>
  <si>
    <t xml:space="preserve">  - Op 9 % Residential</t>
  </si>
  <si>
    <t xml:space="preserve">  - Op 9 % Commercial</t>
  </si>
  <si>
    <t xml:space="preserve">  - Op 10 Revenues</t>
  </si>
  <si>
    <t xml:space="preserve">  - Op 10 % Residential</t>
  </si>
  <si>
    <t xml:space="preserve">  - Op 10 % Commercial</t>
  </si>
  <si>
    <t>Does business rent or lease equipment?</t>
  </si>
  <si>
    <t>Have there been any claims?</t>
  </si>
  <si>
    <t>Cover package quality</t>
  </si>
  <si>
    <t>Essential</t>
  </si>
  <si>
    <t>Better</t>
  </si>
  <si>
    <t>Ultimate</t>
  </si>
  <si>
    <t>Stock Limit Required</t>
  </si>
  <si>
    <t>Contents &amp; Stock limit</t>
  </si>
  <si>
    <t>Is there property?</t>
  </si>
  <si>
    <t>operation_1</t>
  </si>
  <si>
    <t>operation_2</t>
  </si>
  <si>
    <t>operation_3</t>
  </si>
  <si>
    <t>operation_4</t>
  </si>
  <si>
    <t>operation_5</t>
  </si>
  <si>
    <t>operation_6</t>
  </si>
  <si>
    <t>operation_7</t>
  </si>
  <si>
    <t>operation_8</t>
  </si>
  <si>
    <t>operation_9</t>
  </si>
  <si>
    <t>operation_10</t>
  </si>
  <si>
    <t>Risk is in Ontario</t>
  </si>
  <si>
    <t>Insured province</t>
  </si>
  <si>
    <t>Client is not Ontario based</t>
  </si>
  <si>
    <t>Year business started</t>
  </si>
  <si>
    <t>EDP Systems limit Required</t>
  </si>
  <si>
    <t>Business equipment limit required</t>
  </si>
  <si>
    <t>What is maximum rental income / gross rents?  Have assumed $200K</t>
  </si>
  <si>
    <t>Earnings</t>
  </si>
  <si>
    <t>Year property built</t>
  </si>
  <si>
    <t>Total Installation Floater Premium</t>
  </si>
  <si>
    <t>Other CGL Limit Required</t>
  </si>
  <si>
    <t>Other CGL Limit Requested</t>
  </si>
  <si>
    <t>Final CGL Limit Required</t>
  </si>
  <si>
    <t>3D Comprehensive Crime Coverage</t>
  </si>
  <si>
    <t xml:space="preserve">  - Op 1 % Ind</t>
  </si>
  <si>
    <t xml:space="preserve">  - Op 1 % Agricultural</t>
  </si>
  <si>
    <t>Operation 1 Industry Code</t>
  </si>
  <si>
    <t xml:space="preserve">  - Op 1 % will revenue be generated from Canada?</t>
  </si>
  <si>
    <t>Operation 2 Industry Code</t>
  </si>
  <si>
    <t xml:space="preserve">  - Op 2 % Ind</t>
  </si>
  <si>
    <t xml:space="preserve">  - Op 2 % Agricultural</t>
  </si>
  <si>
    <t xml:space="preserve">  - Op 2 % will revenue be generated from Canada?</t>
  </si>
  <si>
    <t>Operation 3 Industry Code</t>
  </si>
  <si>
    <t xml:space="preserve">  - Op 3 % Ind</t>
  </si>
  <si>
    <t xml:space="preserve">  - Op 3 % Agricultural</t>
  </si>
  <si>
    <t xml:space="preserve">  - Op 3 % will revenue be generated from Canada?</t>
  </si>
  <si>
    <t>Operation 4 Industry Code</t>
  </si>
  <si>
    <t xml:space="preserve">  - Op 4 % Ind</t>
  </si>
  <si>
    <t xml:space="preserve">  - Op 4 % Agricultural</t>
  </si>
  <si>
    <t xml:space="preserve">  - Op 4 % will revenue be generated from Canada?</t>
  </si>
  <si>
    <t>Operation 5 Industry Code</t>
  </si>
  <si>
    <t xml:space="preserve">  - Op 5 % Ind</t>
  </si>
  <si>
    <t xml:space="preserve">  - Op 5 % Agricultural</t>
  </si>
  <si>
    <t xml:space="preserve">  - Op 5 % will revenue be generated from Canada?</t>
  </si>
  <si>
    <t>Operation 6 Industry Code</t>
  </si>
  <si>
    <t xml:space="preserve">  - Op 6 % Ind</t>
  </si>
  <si>
    <t xml:space="preserve">  - Op 6 % Agricultural</t>
  </si>
  <si>
    <t xml:space="preserve">  - Op 6 % will revenue be generated from Canada?</t>
  </si>
  <si>
    <t>Operation 7 Industry Code</t>
  </si>
  <si>
    <t xml:space="preserve">  - Op 7 % Ind</t>
  </si>
  <si>
    <t xml:space="preserve">  - Op 7 % Agricultural</t>
  </si>
  <si>
    <t xml:space="preserve">  - Op 7 % will revenue be generated from Canada?</t>
  </si>
  <si>
    <t>Operation 8 Industry Code</t>
  </si>
  <si>
    <t xml:space="preserve">  - Op 8 % Ind</t>
  </si>
  <si>
    <t xml:space="preserve">  - Op 8 % Agricultural</t>
  </si>
  <si>
    <t xml:space="preserve">  - Op 8 % will revenue be generated from Canada?</t>
  </si>
  <si>
    <t>Operation 9 Industry Code</t>
  </si>
  <si>
    <t xml:space="preserve">  - Op 9 % Ind</t>
  </si>
  <si>
    <t xml:space="preserve">  - Op 9 % Agricultural</t>
  </si>
  <si>
    <t xml:space="preserve">  - Op 9 % will revenue be generated from Canada?</t>
  </si>
  <si>
    <t>Operation 10 Industry Code</t>
  </si>
  <si>
    <t xml:space="preserve">  - Op 10 % Ind</t>
  </si>
  <si>
    <t xml:space="preserve">  - Op 10 % Agricultural</t>
  </si>
  <si>
    <t xml:space="preserve">  - Op 10 % will revenue be generated from Canada?</t>
  </si>
  <si>
    <t>No operations outside of Canada</t>
  </si>
  <si>
    <t>Operations must be in Canada</t>
  </si>
  <si>
    <t>Will revenue be generated in Canada?</t>
  </si>
  <si>
    <t>Do you undertake tunneling or subway work? (IBC 1774)</t>
  </si>
  <si>
    <t>Does your business drill water wells only? (IBC 1770)</t>
  </si>
  <si>
    <t>Does your business drill artisian wells? (IBC 1770)</t>
  </si>
  <si>
    <t>Does your business provide hot tar / heat application roofing services? (IBC 1775)</t>
  </si>
  <si>
    <t>Does your business spray pesticides? (IBC 735)</t>
  </si>
  <si>
    <t>Do you undertake any tree removal service? (IBC 735)</t>
  </si>
  <si>
    <t>Do you undertake any form of snow removal? (IBC 735)</t>
  </si>
  <si>
    <t>Do you undertake any work involving auto glass? (IBC 1535)</t>
  </si>
  <si>
    <t>% of revenues that come from alarm work (IBC 1731)</t>
  </si>
  <si>
    <t>Do you undertake work on sewers, tunnels, dams, bridges and piers? (IBC 1741)</t>
  </si>
  <si>
    <t>Concrete construction including sewers, tunnels, dams, bridges</t>
  </si>
  <si>
    <t>Electrical wiring including alarms</t>
  </si>
  <si>
    <t>Glazing includes auto glass</t>
  </si>
  <si>
    <t>Landscaping includes tree removal, snow removal or incidential pesticide application</t>
  </si>
  <si>
    <t>Roofing includes heat application or hot tar</t>
  </si>
  <si>
    <t>Drilling is not water wells only</t>
  </si>
  <si>
    <t>Drilling includes artisian wells</t>
  </si>
  <si>
    <t>Excavation includes tunnel or subway work</t>
  </si>
  <si>
    <t>Concrete construction cannot include work on sewers, tunnels, dams or bridges</t>
  </si>
  <si>
    <t>Electrical wiring cannot include alarm work</t>
  </si>
  <si>
    <t>Glazing cannot include work on auto glass</t>
  </si>
  <si>
    <t>Landscaping cannot include tree removal, snow removal or pesticide application</t>
  </si>
  <si>
    <t>Roofing cannot include heat application</t>
  </si>
  <si>
    <t>Drilling is not for water wells only</t>
  </si>
  <si>
    <t>Drilling cannot incude artisian wells</t>
  </si>
  <si>
    <t>Excavation work cannot include tunnel or subway work</t>
  </si>
  <si>
    <t>Do you undertake any form of snow removal? (IBC 735), tree removal, pesticide spraying</t>
  </si>
  <si>
    <t>Terrazzo &amp; Tilework (no masonry, sewers, draings, ceiling work)</t>
  </si>
  <si>
    <t>Air Conditioning Equipment - incl. Heat Pumps - Residential</t>
  </si>
  <si>
    <t>Air Conditioning Equipment - incl. Heat Pumps - Commercial</t>
  </si>
  <si>
    <t>Metal Doors, Windows, Awnings, Vinyl siding, Eavestrough installation</t>
  </si>
  <si>
    <t>Masonry - incl. Bricklaying, Stonework, Tile, Marble, Mosaic, Stuccoing</t>
  </si>
  <si>
    <t>Building Construction - Residential - One or Two Family Dwellings - new construction</t>
  </si>
  <si>
    <t>Building Construction - Residential - One or Two Family Dwellings - alterations, renovations or repairs</t>
  </si>
  <si>
    <t>Carpentry, framing, trimming, cabinets - Away from Shop</t>
  </si>
  <si>
    <t>Acoustic Ceiling Installation</t>
  </si>
  <si>
    <t>Blinds and Curtains Installation</t>
  </si>
  <si>
    <t>Floor Coverage Installation</t>
  </si>
  <si>
    <t>Cement, Concrete Work - N.O.C.</t>
  </si>
  <si>
    <t>Plastering, Lathing - incl. Drywall</t>
  </si>
  <si>
    <t>Electrical wiring - incl. Fixtures, Appliances</t>
  </si>
  <si>
    <t>Cable Television &amp; Data Cable Installation - Commerical</t>
  </si>
  <si>
    <t>Fence construction</t>
  </si>
  <si>
    <t>Glazier Operations - glass, window, skylight, storefront installation</t>
  </si>
  <si>
    <t>Heating Equipment and Combined Air Conditioning - Oil or Gas</t>
  </si>
  <si>
    <t>Interior Decorator</t>
  </si>
  <si>
    <t>Janitorial Service</t>
  </si>
  <si>
    <t>Duct cleaning</t>
  </si>
  <si>
    <t>Gardening for Others (Landscaping)</t>
  </si>
  <si>
    <t>Painting, Wallpapering, Decorating - excl. Spray Paint</t>
  </si>
  <si>
    <t>Plumbing - incl. Hot Tubs</t>
  </si>
  <si>
    <t>Roofing - Residential (Shingle)</t>
  </si>
  <si>
    <t>Sheet Metal, tinsmith (HVAC, refridgeration, duct work) - Away from Shop</t>
  </si>
  <si>
    <t>Swimming Pool installation, servicing, cleaning, opening and closing</t>
  </si>
  <si>
    <t>Construction of Driveways, Parking Areas including sealing</t>
  </si>
  <si>
    <t>Construction of Irrigation or Drainage Systems</t>
  </si>
  <si>
    <t>Sign installation</t>
  </si>
  <si>
    <t>Television Antennae</t>
  </si>
  <si>
    <t>Boilers - installation, repair and maintenance</t>
  </si>
  <si>
    <t>Geothermal Energy Contractors</t>
  </si>
  <si>
    <t>Water Softening or Treatment Equipment - service &amp; Installation</t>
  </si>
  <si>
    <t>Tilework and terrazzo - Not Masonry, Sewers, Drains</t>
  </si>
  <si>
    <t>Forgery or Alternation</t>
  </si>
  <si>
    <t>Incident response costs</t>
  </si>
  <si>
    <t>Legal and regulatory costs</t>
  </si>
  <si>
    <t>IT Security and Forensic Costs</t>
  </si>
  <si>
    <t>Crisis communication costs</t>
  </si>
  <si>
    <t>Privacy breach management costs</t>
  </si>
  <si>
    <t>Third party privacy breach management costs</t>
  </si>
  <si>
    <t>Post breach remediation costs</t>
  </si>
  <si>
    <t>Funds transfer fraud &amp; Social Engineering</t>
  </si>
  <si>
    <t>Theft of funds held in escrow</t>
  </si>
  <si>
    <t>Theft of personal funds</t>
  </si>
  <si>
    <t>Cyber extortion</t>
  </si>
  <si>
    <t>Corporate Identity theft</t>
  </si>
  <si>
    <t>Telephone hacking</t>
  </si>
  <si>
    <t>Push payment fraud</t>
  </si>
  <si>
    <t>Unauthorized use of computer resources</t>
  </si>
  <si>
    <t>System or data damage and rectification costs</t>
  </si>
  <si>
    <t>Income loss and extra expense</t>
  </si>
  <si>
    <t>Additional extra expense</t>
  </si>
  <si>
    <t>Dependent business interruption</t>
  </si>
  <si>
    <t>Consequential reputation harm</t>
  </si>
  <si>
    <t>Claim preparation costs</t>
  </si>
  <si>
    <t>Hardware replacement costs</t>
  </si>
  <si>
    <t>Privacy liability</t>
  </si>
  <si>
    <t>Management liability</t>
  </si>
  <si>
    <t>Regulatory fines</t>
  </si>
  <si>
    <t>PCI Fines, penalties and assessments</t>
  </si>
  <si>
    <t>Defamation</t>
  </si>
  <si>
    <t>Intellectual property rights infringement</t>
  </si>
  <si>
    <t>Court attendance costs</t>
  </si>
  <si>
    <t>Pandemic exclusion</t>
  </si>
  <si>
    <t>FSA</t>
  </si>
  <si>
    <t>Municipality</t>
  </si>
  <si>
    <t>M1B</t>
  </si>
  <si>
    <t>Toronto</t>
  </si>
  <si>
    <t>M1C</t>
  </si>
  <si>
    <t>M1E</t>
  </si>
  <si>
    <t>M1G</t>
  </si>
  <si>
    <t>M1H</t>
  </si>
  <si>
    <t>M1J</t>
  </si>
  <si>
    <t>M1K</t>
  </si>
  <si>
    <t>M1L</t>
  </si>
  <si>
    <t>M1M</t>
  </si>
  <si>
    <t>M1N</t>
  </si>
  <si>
    <t>M1P</t>
  </si>
  <si>
    <t>M1R</t>
  </si>
  <si>
    <t>M1S</t>
  </si>
  <si>
    <t>M1T</t>
  </si>
  <si>
    <t>M1V</t>
  </si>
  <si>
    <t>M1W</t>
  </si>
  <si>
    <t>M1X</t>
  </si>
  <si>
    <t>M2H</t>
  </si>
  <si>
    <t>M2J</t>
  </si>
  <si>
    <t>M2K</t>
  </si>
  <si>
    <t>M2L</t>
  </si>
  <si>
    <t>M2M</t>
  </si>
  <si>
    <t>M2N</t>
  </si>
  <si>
    <t>M2P</t>
  </si>
  <si>
    <t>M2R</t>
  </si>
  <si>
    <t>M3A</t>
  </si>
  <si>
    <t>M3B</t>
  </si>
  <si>
    <t>M3C</t>
  </si>
  <si>
    <t>M3H</t>
  </si>
  <si>
    <t>M3J</t>
  </si>
  <si>
    <t>M3K</t>
  </si>
  <si>
    <t>M3L</t>
  </si>
  <si>
    <t>M3M</t>
  </si>
  <si>
    <t>M3N</t>
  </si>
  <si>
    <t>M4A</t>
  </si>
  <si>
    <t>M4B</t>
  </si>
  <si>
    <t>M4C</t>
  </si>
  <si>
    <t>M4E</t>
  </si>
  <si>
    <t>M4G</t>
  </si>
  <si>
    <t>M4H</t>
  </si>
  <si>
    <t>M4J</t>
  </si>
  <si>
    <t>M4K</t>
  </si>
  <si>
    <t>M4L</t>
  </si>
  <si>
    <t>M4M</t>
  </si>
  <si>
    <t>M4N</t>
  </si>
  <si>
    <t>M4P</t>
  </si>
  <si>
    <t>M4R</t>
  </si>
  <si>
    <t>M4S</t>
  </si>
  <si>
    <t>M4T</t>
  </si>
  <si>
    <t>M4V</t>
  </si>
  <si>
    <t>M4W</t>
  </si>
  <si>
    <t>M4X</t>
  </si>
  <si>
    <t>M4Y</t>
  </si>
  <si>
    <t>M5A</t>
  </si>
  <si>
    <t>M5B</t>
  </si>
  <si>
    <t>M5C</t>
  </si>
  <si>
    <t>M5E</t>
  </si>
  <si>
    <t>M5G</t>
  </si>
  <si>
    <t>M5H</t>
  </si>
  <si>
    <t>M5J</t>
  </si>
  <si>
    <t>M5M</t>
  </si>
  <si>
    <t>M5N</t>
  </si>
  <si>
    <t>M5P</t>
  </si>
  <si>
    <t>M5R</t>
  </si>
  <si>
    <t>M5S</t>
  </si>
  <si>
    <t>M5T</t>
  </si>
  <si>
    <t>M5V</t>
  </si>
  <si>
    <t>M6A</t>
  </si>
  <si>
    <t>M6B</t>
  </si>
  <si>
    <t>M6C</t>
  </si>
  <si>
    <t>M6E</t>
  </si>
  <si>
    <t>M6G</t>
  </si>
  <si>
    <t>M6H</t>
  </si>
  <si>
    <t>M6J</t>
  </si>
  <si>
    <t>M6K</t>
  </si>
  <si>
    <t>M6L</t>
  </si>
  <si>
    <t>M6M</t>
  </si>
  <si>
    <t>M6N</t>
  </si>
  <si>
    <t>M6P</t>
  </si>
  <si>
    <t>M6R</t>
  </si>
  <si>
    <t>M6S</t>
  </si>
  <si>
    <t>M8V</t>
  </si>
  <si>
    <t>M8W</t>
  </si>
  <si>
    <t>M8X</t>
  </si>
  <si>
    <t>M8Y</t>
  </si>
  <si>
    <t>M8Z</t>
  </si>
  <si>
    <t>M9A</t>
  </si>
  <si>
    <t>M9B</t>
  </si>
  <si>
    <t>M9C</t>
  </si>
  <si>
    <t>M9L</t>
  </si>
  <si>
    <t>M9M</t>
  </si>
  <si>
    <t>M9N</t>
  </si>
  <si>
    <t>M9P</t>
  </si>
  <si>
    <t>M9R</t>
  </si>
  <si>
    <t>M9V</t>
  </si>
  <si>
    <t>M9W</t>
  </si>
  <si>
    <t>L5V</t>
  </si>
  <si>
    <t>Mississauga and Brampton</t>
  </si>
  <si>
    <t>L5W</t>
  </si>
  <si>
    <t>L6P</t>
  </si>
  <si>
    <t>L6R</t>
  </si>
  <si>
    <t>L6S</t>
  </si>
  <si>
    <t>L6T</t>
  </si>
  <si>
    <t>L6V</t>
  </si>
  <si>
    <t>L4T</t>
  </si>
  <si>
    <t>L6W</t>
  </si>
  <si>
    <t>L6X</t>
  </si>
  <si>
    <t>L4W</t>
  </si>
  <si>
    <t>L6Y</t>
  </si>
  <si>
    <t>L4X</t>
  </si>
  <si>
    <t>L6Z</t>
  </si>
  <si>
    <t>L4Y</t>
  </si>
  <si>
    <t>L7A</t>
  </si>
  <si>
    <t>L4Z</t>
  </si>
  <si>
    <t>L5A</t>
  </si>
  <si>
    <t>L7C</t>
  </si>
  <si>
    <t>L5B</t>
  </si>
  <si>
    <t>L5C</t>
  </si>
  <si>
    <t>L7G</t>
  </si>
  <si>
    <t>L9T</t>
  </si>
  <si>
    <t>L5E</t>
  </si>
  <si>
    <t>L7J</t>
  </si>
  <si>
    <t>L5G</t>
  </si>
  <si>
    <t>L5H</t>
  </si>
  <si>
    <t>L0P</t>
  </si>
  <si>
    <t>L5K</t>
  </si>
  <si>
    <t>L5L</t>
  </si>
  <si>
    <t>L5M</t>
  </si>
  <si>
    <t>L5N</t>
  </si>
  <si>
    <t>L5R</t>
  </si>
  <si>
    <t>L5S</t>
  </si>
  <si>
    <t>L5T</t>
  </si>
  <si>
    <t>K2P</t>
  </si>
  <si>
    <t>Ottawa</t>
  </si>
  <si>
    <t>K1S</t>
  </si>
  <si>
    <t>K1K</t>
  </si>
  <si>
    <t>K1L</t>
  </si>
  <si>
    <t>K1M</t>
  </si>
  <si>
    <t>K1N</t>
  </si>
  <si>
    <t>K1P</t>
  </si>
  <si>
    <t>K1R</t>
  </si>
  <si>
    <t>N4T</t>
  </si>
  <si>
    <t>KW and Guelph</t>
  </si>
  <si>
    <t>N4V</t>
  </si>
  <si>
    <t>N5C</t>
  </si>
  <si>
    <t>N5V</t>
  </si>
  <si>
    <t>N5W</t>
  </si>
  <si>
    <t>N5X</t>
  </si>
  <si>
    <t>N5Y</t>
  </si>
  <si>
    <t>N5Z</t>
  </si>
  <si>
    <t>N6A</t>
  </si>
  <si>
    <t>N6B</t>
  </si>
  <si>
    <t>N6C</t>
  </si>
  <si>
    <t>N6E</t>
  </si>
  <si>
    <t>N6G</t>
  </si>
  <si>
    <t>N6H</t>
  </si>
  <si>
    <t>N6J</t>
  </si>
  <si>
    <t>N6K</t>
  </si>
  <si>
    <t>N6L</t>
  </si>
  <si>
    <t>N6M</t>
  </si>
  <si>
    <t>N6N</t>
  </si>
  <si>
    <t>N6P</t>
  </si>
  <si>
    <t>N1R</t>
  </si>
  <si>
    <t>London</t>
  </si>
  <si>
    <t>N1S</t>
  </si>
  <si>
    <t>N1T</t>
  </si>
  <si>
    <t>N2A</t>
  </si>
  <si>
    <t>N2B</t>
  </si>
  <si>
    <t>N4X</t>
  </si>
  <si>
    <t>N2C</t>
  </si>
  <si>
    <t>N4Z</t>
  </si>
  <si>
    <t>N2E</t>
  </si>
  <si>
    <t>N5A</t>
  </si>
  <si>
    <t>N2G</t>
  </si>
  <si>
    <t>N2H</t>
  </si>
  <si>
    <t>N2J</t>
  </si>
  <si>
    <t>N2K</t>
  </si>
  <si>
    <t>N2L</t>
  </si>
  <si>
    <t>N2M</t>
  </si>
  <si>
    <t>N2N</t>
  </si>
  <si>
    <t>N2P</t>
  </si>
  <si>
    <t>N2R</t>
  </si>
  <si>
    <t>N2T</t>
  </si>
  <si>
    <t>N2V</t>
  </si>
  <si>
    <t>N3A</t>
  </si>
  <si>
    <t>N3C</t>
  </si>
  <si>
    <t>N3E</t>
  </si>
  <si>
    <t>N3H</t>
  </si>
  <si>
    <t>N1C</t>
  </si>
  <si>
    <t>N1E</t>
  </si>
  <si>
    <t>N1G</t>
  </si>
  <si>
    <t>N1H</t>
  </si>
  <si>
    <t>N1K</t>
  </si>
  <si>
    <t>N1L</t>
  </si>
  <si>
    <t>N1P</t>
  </si>
  <si>
    <t>P0R</t>
  </si>
  <si>
    <t>Northern Ontario</t>
  </si>
  <si>
    <t>P0S</t>
  </si>
  <si>
    <t>P0T</t>
  </si>
  <si>
    <t>P0V</t>
  </si>
  <si>
    <t>P0W</t>
  </si>
  <si>
    <t>P0X</t>
  </si>
  <si>
    <t>P0Y</t>
  </si>
  <si>
    <t>P1A</t>
  </si>
  <si>
    <t>P1B</t>
  </si>
  <si>
    <t>P1C</t>
  </si>
  <si>
    <t>P2B</t>
  </si>
  <si>
    <t>P2N</t>
  </si>
  <si>
    <t>P3A</t>
  </si>
  <si>
    <t>P3B</t>
  </si>
  <si>
    <t>P3C</t>
  </si>
  <si>
    <t>P3E</t>
  </si>
  <si>
    <t>P3G</t>
  </si>
  <si>
    <t>P3L</t>
  </si>
  <si>
    <t>P3N</t>
  </si>
  <si>
    <t>P3P</t>
  </si>
  <si>
    <t>P3Y</t>
  </si>
  <si>
    <t>P4N</t>
  </si>
  <si>
    <t>P4R</t>
  </si>
  <si>
    <t>P5A</t>
  </si>
  <si>
    <t>P5E</t>
  </si>
  <si>
    <t>P5N</t>
  </si>
  <si>
    <t>P6A</t>
  </si>
  <si>
    <t>P6B</t>
  </si>
  <si>
    <t>P6C</t>
  </si>
  <si>
    <t>P7B</t>
  </si>
  <si>
    <t>P7G</t>
  </si>
  <si>
    <t>P7J</t>
  </si>
  <si>
    <t>P7L</t>
  </si>
  <si>
    <t>P0J</t>
  </si>
  <si>
    <t>P0K</t>
  </si>
  <si>
    <t>P8N</t>
  </si>
  <si>
    <t>P0L</t>
  </si>
  <si>
    <t>P8T</t>
  </si>
  <si>
    <t>P0M</t>
  </si>
  <si>
    <t>P0N</t>
  </si>
  <si>
    <t>P9N</t>
  </si>
  <si>
    <t>P0P</t>
  </si>
  <si>
    <t>L8E</t>
  </si>
  <si>
    <t>Southwest Ontario</t>
  </si>
  <si>
    <t>L8G</t>
  </si>
  <si>
    <t>L8H</t>
  </si>
  <si>
    <t>L8J</t>
  </si>
  <si>
    <t>L8K</t>
  </si>
  <si>
    <t>L8L</t>
  </si>
  <si>
    <t>L8M</t>
  </si>
  <si>
    <t>L8N</t>
  </si>
  <si>
    <t>L8P</t>
  </si>
  <si>
    <t>L8R</t>
  </si>
  <si>
    <t>L8S</t>
  </si>
  <si>
    <t>L8T</t>
  </si>
  <si>
    <t>L8V</t>
  </si>
  <si>
    <t>L8W</t>
  </si>
  <si>
    <t>L9A</t>
  </si>
  <si>
    <t>L9B</t>
  </si>
  <si>
    <t>L9C</t>
  </si>
  <si>
    <t>L9G</t>
  </si>
  <si>
    <t>L9H</t>
  </si>
  <si>
    <t>L9K</t>
  </si>
  <si>
    <t>N0A</t>
  </si>
  <si>
    <t>N0E</t>
  </si>
  <si>
    <t>N0J</t>
  </si>
  <si>
    <t>N0L</t>
  </si>
  <si>
    <t>N0N</t>
  </si>
  <si>
    <t>N0P</t>
  </si>
  <si>
    <t>N0R</t>
  </si>
  <si>
    <t>N1A</t>
  </si>
  <si>
    <t>L0R</t>
  </si>
  <si>
    <t>L0S</t>
  </si>
  <si>
    <t>L2A</t>
  </si>
  <si>
    <t>L2E</t>
  </si>
  <si>
    <t>L2G</t>
  </si>
  <si>
    <t>L2H</t>
  </si>
  <si>
    <t>L2J</t>
  </si>
  <si>
    <t>L2M</t>
  </si>
  <si>
    <t>L2N</t>
  </si>
  <si>
    <t>L2P</t>
  </si>
  <si>
    <t>L2R</t>
  </si>
  <si>
    <t>L2S</t>
  </si>
  <si>
    <t>L2T</t>
  </si>
  <si>
    <t>N3L</t>
  </si>
  <si>
    <t>L2V</t>
  </si>
  <si>
    <t>N3P</t>
  </si>
  <si>
    <t>L2W</t>
  </si>
  <si>
    <t>N3R</t>
  </si>
  <si>
    <t>L3B</t>
  </si>
  <si>
    <t>N3S</t>
  </si>
  <si>
    <t>L3C</t>
  </si>
  <si>
    <t>N3T</t>
  </si>
  <si>
    <t>L3K</t>
  </si>
  <si>
    <t>N3V</t>
  </si>
  <si>
    <t>L3M</t>
  </si>
  <si>
    <t>N3W</t>
  </si>
  <si>
    <t>N3Y</t>
  </si>
  <si>
    <t>N4B</t>
  </si>
  <si>
    <t>N4G</t>
  </si>
  <si>
    <t>N4S</t>
  </si>
  <si>
    <t>N5H</t>
  </si>
  <si>
    <t>N5L</t>
  </si>
  <si>
    <t>N5P</t>
  </si>
  <si>
    <t>N5R</t>
  </si>
  <si>
    <t>L5J</t>
  </si>
  <si>
    <t>N7G</t>
  </si>
  <si>
    <t>N7L</t>
  </si>
  <si>
    <t>N7M</t>
  </si>
  <si>
    <t>N7S</t>
  </si>
  <si>
    <t>N7T</t>
  </si>
  <si>
    <t>N7V</t>
  </si>
  <si>
    <t>N7W</t>
  </si>
  <si>
    <t>N7X</t>
  </si>
  <si>
    <t>N8A</t>
  </si>
  <si>
    <t>N8H</t>
  </si>
  <si>
    <t>N8M</t>
  </si>
  <si>
    <t>N8N</t>
  </si>
  <si>
    <t>N8P</t>
  </si>
  <si>
    <t>L6H</t>
  </si>
  <si>
    <t>N8R</t>
  </si>
  <si>
    <t>L6J</t>
  </si>
  <si>
    <t>N8S</t>
  </si>
  <si>
    <t>L6K</t>
  </si>
  <si>
    <t>N8T</t>
  </si>
  <si>
    <t>L6L</t>
  </si>
  <si>
    <t>L6M</t>
  </si>
  <si>
    <t>N8V</t>
  </si>
  <si>
    <t>N8W</t>
  </si>
  <si>
    <t>N8X</t>
  </si>
  <si>
    <t>N8Y</t>
  </si>
  <si>
    <t>N9A</t>
  </si>
  <si>
    <t>N9B</t>
  </si>
  <si>
    <t>N9C</t>
  </si>
  <si>
    <t>N9E</t>
  </si>
  <si>
    <t>N9G</t>
  </si>
  <si>
    <t>N9H</t>
  </si>
  <si>
    <t>N9J</t>
  </si>
  <si>
    <t>N9K</t>
  </si>
  <si>
    <t>N9V</t>
  </si>
  <si>
    <t>N9Y</t>
  </si>
  <si>
    <t>L7L</t>
  </si>
  <si>
    <t>L7M</t>
  </si>
  <si>
    <t>L7N</t>
  </si>
  <si>
    <t>L7P</t>
  </si>
  <si>
    <t>L7R</t>
  </si>
  <si>
    <t>L7S</t>
  </si>
  <si>
    <t>L7T</t>
  </si>
  <si>
    <t>Risk is in an acceptable postal area</t>
  </si>
  <si>
    <t>Commonwell cannot write in this postal code</t>
  </si>
  <si>
    <t>Risk postalcode</t>
  </si>
  <si>
    <t>Property same as correspondence address?</t>
  </si>
  <si>
    <t>Is there an annual lease in place with all students?</t>
  </si>
  <si>
    <t>Tenant Improvements</t>
  </si>
  <si>
    <t>Contingent BI (include / not required)</t>
  </si>
  <si>
    <t>Earnings value $</t>
  </si>
  <si>
    <t>Profits value $</t>
  </si>
  <si>
    <t>BI indemnity period (months)</t>
  </si>
  <si>
    <t>Include ordinary payroll? (Include / Not required)</t>
  </si>
  <si>
    <t>Extra expense (Include / Not required)</t>
  </si>
  <si>
    <t>Sewer backup</t>
  </si>
  <si>
    <t>Specific SBU limit</t>
  </si>
  <si>
    <t>Contractors E&amp;O</t>
  </si>
  <si>
    <t>Other Contractors E&amp;O Limit</t>
  </si>
  <si>
    <t>Crime Coverage Type (3D Comprehensive Crime Coverage, Inside / Outside Robbery, Broadform Money &amp; Securities, Employee Dishonesty, Declined)</t>
  </si>
  <si>
    <t>Broadform Money &amp; Securities limit</t>
  </si>
  <si>
    <t>Employee dishonesty limit</t>
  </si>
  <si>
    <t>3D crime limit</t>
  </si>
  <si>
    <t>Inside / outside robbery limit</t>
  </si>
  <si>
    <t>Third party crime bond</t>
  </si>
  <si>
    <t>Specific third party crime bond limit</t>
  </si>
  <si>
    <t>Building limit</t>
  </si>
  <si>
    <t>Tenants Imp limit</t>
  </si>
  <si>
    <t>Property extensions type</t>
  </si>
  <si>
    <t>Include for a specified value</t>
  </si>
  <si>
    <t>SBU Coverage</t>
  </si>
  <si>
    <t>Include for full value</t>
  </si>
  <si>
    <t>Specific SBU Limit</t>
  </si>
  <si>
    <t>Exact match</t>
  </si>
  <si>
    <t>If no exact match - then soft index</t>
  </si>
  <si>
    <t>if no exact match - then next higher limit</t>
  </si>
  <si>
    <t>Target match limit</t>
  </si>
  <si>
    <t>Broadform Money &amp; Securities</t>
  </si>
  <si>
    <t>Low limit</t>
  </si>
  <si>
    <t>High limit</t>
  </si>
  <si>
    <t>Capped Limits Requested</t>
  </si>
  <si>
    <t>Earnings Value</t>
  </si>
  <si>
    <t>Profits Value</t>
  </si>
  <si>
    <t>Revenues for ALS</t>
  </si>
  <si>
    <t>Buildings co-insurance</t>
  </si>
  <si>
    <t>Quotey Value Score</t>
  </si>
  <si>
    <t>Excess liability</t>
  </si>
  <si>
    <t>Umbrella Liability</t>
  </si>
  <si>
    <t>Tenant's legal liability</t>
  </si>
  <si>
    <t>Free antivirus software</t>
  </si>
  <si>
    <t>Errors &amp; Omissions</t>
  </si>
  <si>
    <t>Errors &amp; Omissions - Aggregate limit</t>
  </si>
  <si>
    <t>Basis of coverage</t>
  </si>
  <si>
    <t>Errors &amp; Omissions deductible</t>
  </si>
  <si>
    <t>Defence costs in addition to limit</t>
  </si>
  <si>
    <t>First dollar defence</t>
  </si>
  <si>
    <t>Retroactive date</t>
  </si>
  <si>
    <t>Tenant's Improvements</t>
  </si>
  <si>
    <t>Contractor's equipment - single item</t>
  </si>
  <si>
    <t>Data coverage - named perils</t>
  </si>
  <si>
    <t>NOA SEF 94 - Hired autos</t>
  </si>
  <si>
    <t>Non-Owned Auto - SEF 96</t>
  </si>
  <si>
    <t>Non-Owned Auto - SEF 99</t>
  </si>
  <si>
    <t>Tenants Improvements</t>
  </si>
  <si>
    <t>Comment</t>
  </si>
  <si>
    <t>Insurer Response</t>
  </si>
  <si>
    <t>Price quoted (Premium + fees)</t>
  </si>
  <si>
    <t>Fees</t>
  </si>
  <si>
    <t>operation_1_405</t>
  </si>
  <si>
    <t>operation_1_430</t>
  </si>
  <si>
    <t>operation_1_435</t>
  </si>
  <si>
    <t>operation_1_440</t>
  </si>
  <si>
    <t>operation_1_450</t>
  </si>
  <si>
    <t>operation_1_410</t>
  </si>
  <si>
    <t>operation_2_405</t>
  </si>
  <si>
    <t>operation_2_430</t>
  </si>
  <si>
    <t>operation_2_435</t>
  </si>
  <si>
    <t>operation_2_440</t>
  </si>
  <si>
    <t>operation_2_450</t>
  </si>
  <si>
    <t>operation_2_410</t>
  </si>
  <si>
    <t>operation_3_405</t>
  </si>
  <si>
    <t>operation_3_430</t>
  </si>
  <si>
    <t>operation_3_435</t>
  </si>
  <si>
    <t>operation_3_440</t>
  </si>
  <si>
    <t>operation_3_450</t>
  </si>
  <si>
    <t>operation_3_410</t>
  </si>
  <si>
    <t>operation_4_405</t>
  </si>
  <si>
    <t>operation_4_430</t>
  </si>
  <si>
    <t>operation_4_435</t>
  </si>
  <si>
    <t>operation_4_440</t>
  </si>
  <si>
    <t>operation_4_450</t>
  </si>
  <si>
    <t>operation_4_410</t>
  </si>
  <si>
    <t>operation_5_405</t>
  </si>
  <si>
    <t>operation_5_430</t>
  </si>
  <si>
    <t>operation_5_435</t>
  </si>
  <si>
    <t>operation_5_440</t>
  </si>
  <si>
    <t>operation_5_450</t>
  </si>
  <si>
    <t>operation_5_410</t>
  </si>
  <si>
    <t>operation_6_405</t>
  </si>
  <si>
    <t>operation_6_430</t>
  </si>
  <si>
    <t>operation_6_435</t>
  </si>
  <si>
    <t>operation_6_440</t>
  </si>
  <si>
    <t>operation_6_450</t>
  </si>
  <si>
    <t>operation_6_410</t>
  </si>
  <si>
    <t>operation_7_405</t>
  </si>
  <si>
    <t>operation_7_430</t>
  </si>
  <si>
    <t>operation_7_435</t>
  </si>
  <si>
    <t>operation_7_440</t>
  </si>
  <si>
    <t>operation_7_450</t>
  </si>
  <si>
    <t>operation_7_410</t>
  </si>
  <si>
    <t>operation_8_405</t>
  </si>
  <si>
    <t>operation_8_430</t>
  </si>
  <si>
    <t>operation_8_435</t>
  </si>
  <si>
    <t>operation_8_440</t>
  </si>
  <si>
    <t>operation_8_450</t>
  </si>
  <si>
    <t>operation_8_410</t>
  </si>
  <si>
    <t>operation_9_405</t>
  </si>
  <si>
    <t>operation_9_430</t>
  </si>
  <si>
    <t>operation_9_435</t>
  </si>
  <si>
    <t>operation_9_440</t>
  </si>
  <si>
    <t>operation_9_450</t>
  </si>
  <si>
    <t>operation_9_410</t>
  </si>
  <si>
    <t>operation_10_405</t>
  </si>
  <si>
    <t>operation_10_430</t>
  </si>
  <si>
    <t>operation_10_435</t>
  </si>
  <si>
    <t>operation_10_440</t>
  </si>
  <si>
    <t>operation_10_450</t>
  </si>
  <si>
    <t>operation_10_410</t>
  </si>
  <si>
    <t>location_1_504100</t>
  </si>
  <si>
    <t>location_1_504170</t>
  </si>
  <si>
    <t>location_1_504190</t>
  </si>
  <si>
    <t>location_1_504180</t>
  </si>
  <si>
    <t>location_1_504200</t>
  </si>
  <si>
    <t>location_1_504310</t>
  </si>
  <si>
    <t>1000100_1</t>
  </si>
  <si>
    <t>10505_postalcode</t>
  </si>
  <si>
    <t>10505_province</t>
  </si>
  <si>
    <t>location_1_504215</t>
  </si>
  <si>
    <t>location_1_504240</t>
  </si>
  <si>
    <t>location_1_504220</t>
  </si>
  <si>
    <t>location_1_504250</t>
  </si>
  <si>
    <t>location_1_504260</t>
  </si>
  <si>
    <t>location_1_504270</t>
  </si>
  <si>
    <t>location_1_504280</t>
  </si>
  <si>
    <t>location_1_504320</t>
  </si>
  <si>
    <t>location_1_500110_postalcode</t>
  </si>
  <si>
    <t>location_1_500100</t>
  </si>
  <si>
    <t>location_1_503500</t>
  </si>
  <si>
    <t>location_1_503510</t>
  </si>
  <si>
    <t>location_1_503520</t>
  </si>
  <si>
    <t>location_1_503590</t>
  </si>
  <si>
    <t>location_1_500770</t>
  </si>
  <si>
    <t>location_1_500790</t>
  </si>
  <si>
    <t>location_1_500610</t>
  </si>
  <si>
    <t>location_1_500830</t>
  </si>
  <si>
    <t>location_1_500870</t>
  </si>
  <si>
    <t>location_1_500910</t>
  </si>
  <si>
    <t>location_1_500930</t>
  </si>
  <si>
    <t>location_1_500740</t>
  </si>
  <si>
    <t>location_1_500700</t>
  </si>
  <si>
    <t>location_1_500860</t>
  </si>
  <si>
    <t>location_1_503820</t>
  </si>
  <si>
    <t>location_1_501500</t>
  </si>
  <si>
    <t>location_1_500010</t>
  </si>
  <si>
    <t>1000280_1</t>
  </si>
  <si>
    <t>1000190_1</t>
  </si>
  <si>
    <t>Building Type</t>
  </si>
  <si>
    <t>Location type</t>
  </si>
  <si>
    <t>Loss to Third Party 3D</t>
  </si>
  <si>
    <t>location_1_58300</t>
  </si>
  <si>
    <t>Building You Own</t>
  </si>
  <si>
    <t>Rented or Leased Property</t>
  </si>
  <si>
    <t>Home Based / Virtual Business</t>
  </si>
  <si>
    <t>Building Under Construction</t>
  </si>
  <si>
    <t>Vacant Building</t>
  </si>
  <si>
    <t>Vacant Land</t>
  </si>
  <si>
    <t>Gas - forced air</t>
  </si>
  <si>
    <t>Steam / water boiler</t>
  </si>
  <si>
    <t>Geo Thermal / Heat Pump</t>
  </si>
  <si>
    <t>Electric - forced air</t>
  </si>
  <si>
    <t>Electric - baseboard</t>
  </si>
  <si>
    <t>Solid fuel</t>
  </si>
  <si>
    <t>Removed solid fuel</t>
  </si>
  <si>
    <t>1. Fire Resistive</t>
  </si>
  <si>
    <t>2. Modified Fire Resistive</t>
  </si>
  <si>
    <t>3. Masonry Non Combustible</t>
  </si>
  <si>
    <t>4. Non Combustible</t>
  </si>
  <si>
    <t>5. Masonry</t>
  </si>
  <si>
    <t>6. Brick Veneer</t>
  </si>
  <si>
    <t>1000300_1</t>
  </si>
  <si>
    <t>Specific cyber limit required</t>
  </si>
  <si>
    <t>Cyber limit required</t>
  </si>
  <si>
    <t>Breakers and Fuses</t>
  </si>
  <si>
    <t>Wiring Type</t>
  </si>
  <si>
    <t>&lt;100 amps</t>
  </si>
  <si>
    <t>100-200 amps</t>
  </si>
  <si>
    <t>200+ amps</t>
  </si>
  <si>
    <t>Wiring type</t>
  </si>
  <si>
    <t>location_1_500935</t>
  </si>
  <si>
    <t>Copper</t>
  </si>
  <si>
    <t>Building electrical services does not meet requirements</t>
  </si>
  <si>
    <t>EDP</t>
  </si>
  <si>
    <t>Business Equipment</t>
  </si>
  <si>
    <t>Equipment</t>
  </si>
  <si>
    <t>Total</t>
  </si>
  <si>
    <t>Requested</t>
  </si>
  <si>
    <t>Offer breakdown</t>
  </si>
  <si>
    <t>Excess</t>
  </si>
  <si>
    <t>Sprinklered? (Yes/No)</t>
  </si>
  <si>
    <t>Equipment Breakdown Limit Requred (Include / Not required)</t>
  </si>
  <si>
    <t>Electric - in floor</t>
  </si>
  <si>
    <t>Radiant heating</t>
  </si>
  <si>
    <t>Contents, EDP and Bus Equipment Limit required</t>
  </si>
  <si>
    <t>Business Interruption Coverage Required (Earnings, Profits, Actual Loss Sustained, Not required, Declined)</t>
  </si>
  <si>
    <t>CE subtotal</t>
  </si>
  <si>
    <t>Price quoted (premium + fees)</t>
  </si>
  <si>
    <t>Insurer fees</t>
  </si>
  <si>
    <t>Building bylaws</t>
  </si>
  <si>
    <t>By-Laws - additional time to rebuild</t>
  </si>
  <si>
    <t>Coinsurance condition</t>
  </si>
  <si>
    <t>Coinsurance waiver</t>
  </si>
  <si>
    <t>Computers and other Electronic Data Processing Equipment</t>
  </si>
  <si>
    <t>Computers and other Electronic Data Processing Equipment - away from your regular premises</t>
  </si>
  <si>
    <t>Products &amp; Completed Operations</t>
  </si>
  <si>
    <t>Bodily injury &amp; property damage (CGL)</t>
  </si>
  <si>
    <t>Contractors Errors &amp; Omissions</t>
  </si>
  <si>
    <t>Umbrella liability</t>
  </si>
  <si>
    <t>Non-Owned Auto - SEF 94 - Damage to hired autos</t>
  </si>
  <si>
    <t>Non-Owned Auto - SPF 6</t>
  </si>
  <si>
    <t>General Liability Deductible</t>
  </si>
  <si>
    <t>Riggers Liability / Hook Coverage</t>
  </si>
  <si>
    <t>Privacy Liability</t>
  </si>
  <si>
    <t>Errors &amp; Omissions (E&amp;O)</t>
  </si>
  <si>
    <t>Errors &amp; Omissions - Aggregate Limit</t>
  </si>
  <si>
    <t>E&amp;O - Basis of coverage</t>
  </si>
  <si>
    <t>E&amp;O deductible</t>
  </si>
  <si>
    <t>First dollar defence coverage</t>
  </si>
  <si>
    <t>E&amp;O Retroactive date</t>
  </si>
  <si>
    <t>Territory of coverage</t>
  </si>
  <si>
    <t>Territory of suit</t>
  </si>
  <si>
    <t>Loss of documents</t>
  </si>
  <si>
    <t>Libel &amp; slander</t>
  </si>
  <si>
    <t>Breach of copyright</t>
  </si>
  <si>
    <t>Breach of confidence</t>
  </si>
  <si>
    <t>Medical expenses - each occurrence</t>
  </si>
  <si>
    <t>Interruption by Civil Authority</t>
  </si>
  <si>
    <t>Earthquake Deductible</t>
  </si>
  <si>
    <t xml:space="preserve">Equipment  </t>
  </si>
  <si>
    <t>Premium quoted</t>
  </si>
  <si>
    <t>Broker fees</t>
  </si>
  <si>
    <t>Commission rate</t>
  </si>
  <si>
    <t>Minimum retained premium</t>
  </si>
  <si>
    <t>Quote expiry date</t>
  </si>
  <si>
    <t>Quote reference</t>
  </si>
  <si>
    <t>Premium + Fees</t>
  </si>
  <si>
    <t>7. Frame &amp; Other</t>
  </si>
  <si>
    <t>Quote Expiry</t>
  </si>
  <si>
    <t>Min Retained Premium</t>
  </si>
  <si>
    <t>725 min premium for contractrs</t>
  </si>
  <si>
    <t>Contents Replacement Cost</t>
  </si>
  <si>
    <t>New stuff not added to DB</t>
  </si>
  <si>
    <t>Contents Replacement cost</t>
  </si>
  <si>
    <t>Selling, leasing or renting</t>
  </si>
  <si>
    <t>Note: max tools of $50K,No min premium</t>
  </si>
  <si>
    <t>Contractor's Equipment Schedule Required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</si>
</sst>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6" formatCode="&quot;$&quot;#,##0;[Red]\-&quot;$&quot;#,##0"/>
    <numFmt numFmtId="8" formatCode="&quot;$&quot;#,##0.00;[Red]\-&quot;$&quot;#,##0.00"/>
    <numFmt numFmtId="43" formatCode="_-* #,##0.00_-;\-* #,##0.00_-;_-* &quot;-&quot;??_-;_-@_-"/>
    <numFmt numFmtId="164" formatCode="&quot;$&quot;#,##0_);[Red]\(&quot;$&quot;#,##0\)"/>
    <numFmt numFmtId="165" formatCode="&quot;$&quot;#,##0.00_);[Red]\(&quot;$&quot;#,##0.00\)"/>
    <numFmt numFmtId="166" formatCode="_(&quot;$&quot;* #,##0.00_);_(&quot;$&quot;* \(#,##0.00\);_(&quot;$&quot;* &quot;-&quot;??_);_(@_)"/>
    <numFmt numFmtId="167" formatCode="&quot;$&quot;#,##0.00"/>
    <numFmt numFmtId="168" formatCode="_(&quot;$&quot;* #,##0_);_(&quot;$&quot;* \(#,##0\);_(&quot;$&quot;* &quot;-&quot;??_);_(@_)"/>
    <numFmt numFmtId="169" formatCode="0_ ;\-0\ "/>
    <numFmt numFmtId="170" formatCode="0;[Red]0"/>
    <numFmt numFmtId="171" formatCode="&quot;$&quot;#,##0.0_);[Red]\(&quot;$&quot;#,##0.0\)"/>
    <numFmt numFmtId="172" formatCode="[$-F800]dddd\,\ mmmm\ dd\,\ yyyy"/>
  </numFmts>
  <fonts count="46"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sz val="11"/>
      <color rgb="FF9C0006"/>
      <name val="Calibri"/>
      <family val="2"/>
      <scheme val="minor"/>
    </font>
    <font>
      <b/>
      <sz val="11"/>
      <color rgb="FFFA7D00"/>
      <name val="Calibri"/>
      <family val="2"/>
      <scheme val="minor"/>
    </font>
    <font>
      <b/>
      <sz val="11"/>
      <color theme="0"/>
      <name val="Calibri"/>
      <family val="2"/>
      <scheme val="minor"/>
    </font>
    <font>
      <sz val="10"/>
      <color theme="1"/>
      <name val="Arial"/>
      <family val="2"/>
    </font>
    <font>
      <b/>
      <u/>
      <sz val="12"/>
      <color theme="1"/>
      <name val="Calibri"/>
      <family val="2"/>
      <scheme val="minor"/>
    </font>
    <font>
      <i/>
      <sz val="11"/>
      <color theme="1"/>
      <name val="Calibri"/>
      <family val="2"/>
      <scheme val="minor"/>
    </font>
    <font>
      <i/>
      <sz val="11"/>
      <color rgb="FFFF0000"/>
      <name val="Calibri"/>
      <family val="2"/>
      <scheme val="minor"/>
    </font>
    <font>
      <b/>
      <i/>
      <sz val="11"/>
      <color theme="1"/>
      <name val="Calibri"/>
      <family val="2"/>
      <scheme val="minor"/>
    </font>
    <font>
      <i/>
      <sz val="11"/>
      <color rgb="FF9C0006"/>
      <name val="Calibri"/>
      <family val="2"/>
      <scheme val="minor"/>
    </font>
    <font>
      <b/>
      <i/>
      <sz val="11"/>
      <color theme="0"/>
      <name val="Calibri"/>
      <family val="2"/>
      <scheme val="minor"/>
    </font>
    <font>
      <b/>
      <sz val="11"/>
      <color rgb="FFFF0000"/>
      <name val="Calibri"/>
      <family val="2"/>
      <scheme val="minor"/>
    </font>
    <font>
      <i/>
      <sz val="11"/>
      <name val="Calibri"/>
      <family val="2"/>
      <scheme val="minor"/>
    </font>
    <font>
      <b/>
      <sz val="10"/>
      <color theme="1"/>
      <name val="Arial"/>
      <family val="2"/>
    </font>
    <font>
      <b/>
      <u/>
      <sz val="10"/>
      <color theme="1"/>
      <name val="Arial"/>
      <family val="2"/>
    </font>
    <font>
      <sz val="11"/>
      <color rgb="FF9C6500"/>
      <name val="Calibri"/>
      <family val="2"/>
      <scheme val="minor"/>
    </font>
    <font>
      <sz val="11"/>
      <color rgb="FF3F3F76"/>
      <name val="Calibri"/>
      <family val="2"/>
      <scheme val="minor"/>
    </font>
    <font>
      <sz val="11"/>
      <color rgb="FFFF0000"/>
      <name val="Calibri"/>
      <family val="2"/>
      <scheme val="minor"/>
    </font>
    <font>
      <u/>
      <sz val="11"/>
      <color theme="10"/>
      <name val="Calibri"/>
      <family val="2"/>
      <scheme val="minor"/>
    </font>
    <font>
      <u/>
      <sz val="11"/>
      <color theme="3"/>
      <name val="Calibri"/>
      <family val="2"/>
      <scheme val="minor"/>
    </font>
    <font>
      <b/>
      <u/>
      <sz val="11"/>
      <color theme="3"/>
      <name val="Calibri"/>
      <family val="2"/>
      <scheme val="minor"/>
    </font>
    <font>
      <b/>
      <sz val="11"/>
      <name val="Calibri"/>
      <family val="2"/>
      <scheme val="minor"/>
    </font>
    <font>
      <sz val="11"/>
      <color rgb="FF656C6C"/>
      <name val="Segoe UI"/>
      <family val="2"/>
    </font>
    <font>
      <sz val="11"/>
      <color rgb="FF091E42"/>
      <name val="Segoe UI"/>
      <family val="2"/>
    </font>
    <font>
      <sz val="10"/>
      <name val="Arial"/>
      <family val="2"/>
    </font>
    <font>
      <b/>
      <sz val="10"/>
      <name val="Arial"/>
      <family val="2"/>
    </font>
    <font>
      <sz val="11"/>
      <color theme="1"/>
      <name val="Calibri"/>
      <family val="2"/>
      <scheme val="minor"/>
    </font>
    <font>
      <b/>
      <sz val="18"/>
      <color theme="1"/>
      <name val="Calibri"/>
      <family val="2"/>
      <scheme val="minor"/>
    </font>
    <font>
      <sz val="11"/>
      <name val="Calibri"/>
      <family val="2"/>
      <scheme val="minor"/>
    </font>
    <font>
      <u/>
      <sz val="11"/>
      <color theme="1"/>
      <name val="Calibri"/>
      <family val="2"/>
      <scheme val="minor"/>
    </font>
    <font>
      <sz val="11"/>
      <color theme="0"/>
      <name val="Calibri"/>
      <family val="2"/>
      <scheme val="minor"/>
    </font>
    <font>
      <b/>
      <sz val="14"/>
      <color rgb="FFFF0000"/>
      <name val="Calibri"/>
      <family val="2"/>
      <scheme val="minor"/>
    </font>
    <font>
      <sz val="14"/>
      <color theme="1"/>
      <name val="Calibri"/>
      <family val="2"/>
      <scheme val="minor"/>
    </font>
    <font>
      <i/>
      <sz val="11"/>
      <color theme="0"/>
      <name val="Calibri"/>
      <family val="2"/>
      <scheme val="minor"/>
    </font>
    <font>
      <sz val="12"/>
      <color theme="1"/>
      <name val="Calibri"/>
      <family val="2"/>
      <scheme val="minor"/>
    </font>
    <font>
      <b/>
      <sz val="12"/>
      <color theme="1"/>
      <name val="Calibri"/>
      <family val="2"/>
      <scheme val="minor"/>
    </font>
    <font>
      <b/>
      <sz val="20"/>
      <color theme="1"/>
      <name val="Calibri"/>
      <family val="2"/>
      <scheme val="minor"/>
    </font>
    <font>
      <b/>
      <sz val="22"/>
      <color theme="0"/>
      <name val="Calibri"/>
      <family val="2"/>
      <scheme val="minor"/>
    </font>
    <font>
      <b/>
      <i/>
      <sz val="12"/>
      <color theme="1"/>
      <name val="Calibri"/>
      <family val="2"/>
      <scheme val="minor"/>
    </font>
    <font>
      <b/>
      <sz val="13"/>
      <color theme="1"/>
      <name val="Calibri"/>
      <family val="2"/>
      <scheme val="minor"/>
    </font>
    <font>
      <b/>
      <u/>
      <sz val="11"/>
      <color theme="1"/>
      <name val="Calibri"/>
      <family val="2"/>
      <scheme val="minor"/>
    </font>
    <font>
      <b/>
      <sz val="10"/>
      <color theme="1"/>
      <name val="Calibri"/>
      <family val="2"/>
      <scheme val="minor"/>
    </font>
    <font>
      <sz val="10"/>
      <color theme="0"/>
      <name val="Arial"/>
      <family val="2"/>
    </font>
  </fonts>
  <fills count="35">
    <fill>
      <patternFill patternType="none"/>
    </fill>
    <fill>
      <patternFill patternType="gray125"/>
    </fill>
    <fill>
      <patternFill patternType="solid">
        <fgColor rgb="FFFFFF00"/>
        <bgColor indexed="64"/>
      </patternFill>
    </fill>
    <fill>
      <patternFill patternType="solid">
        <fgColor rgb="FFFFC7CE"/>
      </patternFill>
    </fill>
    <fill>
      <patternFill patternType="solid">
        <fgColor rgb="FFF2F2F2"/>
      </patternFill>
    </fill>
    <fill>
      <patternFill patternType="solid">
        <fgColor rgb="FFA5A5A5"/>
      </patternFill>
    </fill>
    <fill>
      <patternFill patternType="solid">
        <fgColor theme="4"/>
        <bgColor indexed="64"/>
      </patternFill>
    </fill>
    <fill>
      <patternFill patternType="solid">
        <fgColor theme="5"/>
        <bgColor indexed="64"/>
      </patternFill>
    </fill>
    <fill>
      <patternFill patternType="solid">
        <fgColor rgb="FFE6E6E6"/>
        <bgColor indexed="64"/>
      </patternFill>
    </fill>
    <fill>
      <patternFill patternType="solid">
        <fgColor rgb="FFE0E0E0"/>
        <bgColor indexed="64"/>
      </patternFill>
    </fill>
    <fill>
      <patternFill patternType="solid">
        <fgColor rgb="FFFFEB9C"/>
      </patternFill>
    </fill>
    <fill>
      <patternFill patternType="solid">
        <fgColor rgb="FFFFCC99"/>
      </patternFill>
    </fill>
    <fill>
      <patternFill patternType="solid">
        <fgColor theme="6"/>
        <bgColor indexed="64"/>
      </patternFill>
    </fill>
    <fill>
      <patternFill patternType="solid">
        <fgColor theme="7"/>
        <bgColor indexed="64"/>
      </patternFill>
    </fill>
    <fill>
      <patternFill patternType="solid">
        <fgColor rgb="FFFF0000"/>
        <bgColor indexed="64"/>
      </patternFill>
    </fill>
    <fill>
      <patternFill patternType="solid">
        <fgColor theme="8"/>
        <bgColor indexed="64"/>
      </patternFill>
    </fill>
    <fill>
      <patternFill patternType="solid">
        <fgColor theme="2" tint="-9.9978637043366805E-2"/>
        <bgColor indexed="64"/>
      </patternFill>
    </fill>
    <fill>
      <patternFill patternType="solid">
        <fgColor theme="9"/>
        <bgColor indexed="64"/>
      </patternFill>
    </fill>
    <fill>
      <patternFill patternType="solid">
        <fgColor theme="0" tint="-0.249977111117893"/>
        <bgColor indexed="64"/>
      </patternFill>
    </fill>
    <fill>
      <patternFill patternType="solid">
        <fgColor rgb="FFFFFFFF"/>
        <bgColor indexed="64"/>
      </patternFill>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theme="1"/>
        <bgColor indexed="64"/>
      </patternFill>
    </fill>
    <fill>
      <patternFill patternType="solid">
        <fgColor theme="0" tint="-0.14999847407452621"/>
        <bgColor indexed="64"/>
      </patternFill>
    </fill>
    <fill>
      <patternFill patternType="solid">
        <fgColor rgb="FF0066FF"/>
        <bgColor indexed="64"/>
      </patternFill>
    </fill>
    <fill>
      <patternFill patternType="solid">
        <fgColor theme="0" tint="-4.9989318521683403E-2"/>
        <bgColor indexed="64"/>
      </patternFill>
    </fill>
    <fill>
      <patternFill patternType="solid">
        <fgColor rgb="FF92D050"/>
        <bgColor indexed="64"/>
      </patternFill>
    </fill>
  </fills>
  <borders count="6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double">
        <color rgb="FF3F3F3F"/>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top/>
      <bottom style="medium">
        <color indexed="64"/>
      </bottom>
      <diagonal/>
    </border>
    <border>
      <left style="medium">
        <color indexed="64"/>
      </left>
      <right/>
      <top/>
      <bottom/>
      <diagonal/>
    </border>
    <border>
      <left style="thin">
        <color indexed="64"/>
      </left>
      <right style="thin">
        <color indexed="64"/>
      </right>
      <top style="thin">
        <color indexed="64"/>
      </top>
      <bottom/>
      <diagonal/>
    </border>
    <border>
      <left style="medium">
        <color rgb="FFDDDDDD"/>
      </left>
      <right style="medium">
        <color rgb="FFDDDDDD"/>
      </right>
      <top style="medium">
        <color rgb="FFDDDDDD"/>
      </top>
      <bottom style="medium">
        <color rgb="FFDDDDDD"/>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right style="thick">
        <color auto="1"/>
      </right>
      <top/>
      <bottom/>
      <diagonal/>
    </border>
    <border>
      <left style="thick">
        <color auto="1"/>
      </left>
      <right/>
      <top/>
      <bottom/>
      <diagonal/>
    </border>
    <border>
      <left style="medium">
        <color auto="1"/>
      </left>
      <right/>
      <top/>
      <bottom style="medium">
        <color auto="1"/>
      </bottom>
      <diagonal/>
    </border>
    <border>
      <left/>
      <right style="thick">
        <color auto="1"/>
      </right>
      <top/>
      <bottom style="medium">
        <color auto="1"/>
      </bottom>
      <diagonal/>
    </border>
    <border>
      <left style="thick">
        <color auto="1"/>
      </left>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bottom style="thin">
        <color auto="1"/>
      </bottom>
      <diagonal/>
    </border>
    <border>
      <left/>
      <right/>
      <top/>
      <bottom style="thin">
        <color indexed="64"/>
      </bottom>
      <diagonal/>
    </border>
    <border>
      <left style="thick">
        <color auto="1"/>
      </left>
      <right/>
      <top/>
      <bottom style="thick">
        <color auto="1"/>
      </bottom>
      <diagonal/>
    </border>
    <border>
      <left/>
      <right/>
      <top style="hair">
        <color auto="1"/>
      </top>
      <bottom style="hair">
        <color auto="1"/>
      </bottom>
      <diagonal/>
    </border>
    <border>
      <left/>
      <right style="thick">
        <color auto="1"/>
      </right>
      <top style="hair">
        <color auto="1"/>
      </top>
      <bottom style="hair">
        <color auto="1"/>
      </bottom>
      <diagonal/>
    </border>
    <border>
      <left style="thick">
        <color auto="1"/>
      </left>
      <right/>
      <top style="thick">
        <color auto="1"/>
      </top>
      <bottom style="hair">
        <color auto="1"/>
      </bottom>
      <diagonal/>
    </border>
    <border>
      <left/>
      <right style="thick">
        <color auto="1"/>
      </right>
      <top style="thick">
        <color auto="1"/>
      </top>
      <bottom style="hair">
        <color auto="1"/>
      </bottom>
      <diagonal/>
    </border>
    <border>
      <left style="thick">
        <color auto="1"/>
      </left>
      <right/>
      <top style="hair">
        <color auto="1"/>
      </top>
      <bottom style="hair">
        <color auto="1"/>
      </bottom>
      <diagonal/>
    </border>
    <border>
      <left style="thick">
        <color auto="1"/>
      </left>
      <right/>
      <top style="medium">
        <color auto="1"/>
      </top>
      <bottom style="hair">
        <color auto="1"/>
      </bottom>
      <diagonal/>
    </border>
    <border>
      <left/>
      <right/>
      <top style="medium">
        <color auto="1"/>
      </top>
      <bottom style="hair">
        <color auto="1"/>
      </bottom>
      <diagonal/>
    </border>
    <border>
      <left/>
      <right style="thick">
        <color auto="1"/>
      </right>
      <top style="medium">
        <color auto="1"/>
      </top>
      <bottom style="hair">
        <color auto="1"/>
      </bottom>
      <diagonal/>
    </border>
    <border>
      <left/>
      <right/>
      <top style="hair">
        <color auto="1"/>
      </top>
      <bottom/>
      <diagonal/>
    </border>
    <border>
      <left/>
      <right style="thick">
        <color auto="1"/>
      </right>
      <top style="hair">
        <color auto="1"/>
      </top>
      <bottom/>
      <diagonal/>
    </border>
    <border>
      <left style="thick">
        <color auto="1"/>
      </left>
      <right/>
      <top style="hair">
        <color auto="1"/>
      </top>
      <bottom/>
      <diagonal/>
    </border>
    <border>
      <left/>
      <right/>
      <top style="medium">
        <color auto="1"/>
      </top>
      <bottom/>
      <diagonal/>
    </border>
    <border>
      <left/>
      <right style="medium">
        <color indexed="64"/>
      </right>
      <top/>
      <bottom/>
      <diagonal/>
    </border>
    <border>
      <left/>
      <right/>
      <top style="double">
        <color auto="1"/>
      </top>
      <bottom/>
      <diagonal/>
    </border>
    <border>
      <left/>
      <right/>
      <top style="double">
        <color auto="1"/>
      </top>
      <bottom style="medium">
        <color auto="1"/>
      </bottom>
      <diagonal/>
    </border>
    <border>
      <left/>
      <right/>
      <top/>
      <bottom style="hair">
        <color auto="1"/>
      </bottom>
      <diagonal/>
    </border>
    <border>
      <left style="hair">
        <color auto="1"/>
      </left>
      <right style="hair">
        <color auto="1"/>
      </right>
      <top style="hair">
        <color auto="1"/>
      </top>
      <bottom style="hair">
        <color auto="1"/>
      </bottom>
      <diagonal/>
    </border>
    <border>
      <left/>
      <right/>
      <top style="thin">
        <color indexed="64"/>
      </top>
      <bottom style="thin">
        <color indexed="64"/>
      </bottom>
      <diagonal/>
    </border>
    <border>
      <left/>
      <right style="thin">
        <color indexed="64"/>
      </right>
      <top/>
      <bottom style="thin">
        <color indexed="64"/>
      </bottom>
      <diagonal/>
    </border>
    <border>
      <left/>
      <right/>
      <top style="thick">
        <color auto="1"/>
      </top>
      <bottom style="hair">
        <color auto="1"/>
      </bottom>
      <diagonal/>
    </border>
    <border>
      <left style="thick">
        <color auto="1"/>
      </left>
      <right/>
      <top style="thin">
        <color auto="1"/>
      </top>
      <bottom/>
      <diagonal/>
    </border>
    <border>
      <left/>
      <right style="thick">
        <color auto="1"/>
      </right>
      <top style="thin">
        <color auto="1"/>
      </top>
      <bottom/>
      <diagonal/>
    </border>
  </borders>
  <cellStyleXfs count="11">
    <xf numFmtId="0" fontId="0" fillId="0" borderId="0"/>
    <xf numFmtId="0" fontId="4" fillId="3" borderId="0" applyNumberFormat="0" applyBorder="0" applyAlignment="0" applyProtection="0"/>
    <xf numFmtId="0" fontId="5" fillId="4" borderId="4" applyNumberFormat="0" applyAlignment="0" applyProtection="0"/>
    <xf numFmtId="0" fontId="6" fillId="5" borderId="5" applyNumberFormat="0" applyAlignment="0" applyProtection="0"/>
    <xf numFmtId="0" fontId="18" fillId="10" borderId="0" applyNumberFormat="0" applyBorder="0" applyAlignment="0" applyProtection="0"/>
    <xf numFmtId="0" fontId="19" fillId="11" borderId="4" applyNumberFormat="0" applyAlignment="0" applyProtection="0"/>
    <xf numFmtId="0" fontId="21" fillId="0" borderId="0" applyNumberFormat="0" applyFill="0" applyBorder="0" applyAlignment="0" applyProtection="0"/>
    <xf numFmtId="0" fontId="27" fillId="0" borderId="0"/>
    <xf numFmtId="166" fontId="29" fillId="0" borderId="0" applyFont="0" applyFill="0" applyBorder="0" applyAlignment="0" applyProtection="0"/>
    <xf numFmtId="9" fontId="29" fillId="0" borderId="0" applyFont="0" applyFill="0" applyBorder="0" applyAlignment="0" applyProtection="0"/>
    <xf numFmtId="43" fontId="29" fillId="0" borderId="0" applyFont="0" applyFill="0" applyBorder="0" applyAlignment="0" applyProtection="0"/>
  </cellStyleXfs>
  <cellXfs count="552">
    <xf numFmtId="0" fontId="0" fillId="0" borderId="0" xfId="0"/>
    <xf numFmtId="0" fontId="0" fillId="0" borderId="0" xfId="0" applyAlignment="1">
      <alignment vertical="top" wrapText="1"/>
    </xf>
    <xf numFmtId="0" fontId="0" fillId="0" borderId="1" xfId="0" applyBorder="1" applyAlignment="1">
      <alignment vertical="top" wrapText="1"/>
    </xf>
    <xf numFmtId="0" fontId="0" fillId="0" borderId="0" xfId="0" applyAlignment="1">
      <alignment vertical="top"/>
    </xf>
    <xf numFmtId="0" fontId="0" fillId="0" borderId="1" xfId="0" applyBorder="1" applyAlignment="1">
      <alignment vertical="top"/>
    </xf>
    <xf numFmtId="0" fontId="1" fillId="0" borderId="0" xfId="0" applyFont="1"/>
    <xf numFmtId="0" fontId="1" fillId="0" borderId="0" xfId="0" applyFont="1" applyBorder="1" applyAlignment="1">
      <alignment vertical="top"/>
    </xf>
    <xf numFmtId="0" fontId="0" fillId="0" borderId="0" xfId="0" applyAlignment="1">
      <alignment wrapText="1"/>
    </xf>
    <xf numFmtId="0" fontId="8" fillId="0" borderId="0" xfId="0" applyFont="1" applyAlignment="1">
      <alignment vertical="top"/>
    </xf>
    <xf numFmtId="6" fontId="0" fillId="0" borderId="1" xfId="0" applyNumberFormat="1" applyBorder="1" applyAlignment="1">
      <alignment vertical="top" wrapText="1"/>
    </xf>
    <xf numFmtId="0" fontId="1" fillId="0" borderId="7" xfId="0" applyFont="1" applyBorder="1" applyAlignment="1">
      <alignment vertical="top"/>
    </xf>
    <xf numFmtId="0" fontId="1" fillId="0" borderId="8" xfId="0" applyFont="1" applyBorder="1" applyAlignment="1">
      <alignment vertical="top"/>
    </xf>
    <xf numFmtId="0" fontId="0" fillId="0" borderId="9" xfId="0" applyBorder="1" applyAlignment="1">
      <alignment vertical="top"/>
    </xf>
    <xf numFmtId="0" fontId="0" fillId="0" borderId="9" xfId="0" applyBorder="1" applyAlignment="1">
      <alignment vertical="top" wrapText="1"/>
    </xf>
    <xf numFmtId="6" fontId="0" fillId="0" borderId="10" xfId="0" applyNumberFormat="1" applyBorder="1" applyAlignment="1">
      <alignment vertical="top" wrapText="1"/>
    </xf>
    <xf numFmtId="0" fontId="9" fillId="0" borderId="12" xfId="0" applyFont="1" applyBorder="1" applyAlignment="1">
      <alignment vertical="top" wrapText="1"/>
    </xf>
    <xf numFmtId="0" fontId="11" fillId="0" borderId="12" xfId="0" applyFont="1" applyBorder="1" applyAlignment="1">
      <alignment vertical="top" wrapText="1"/>
    </xf>
    <xf numFmtId="0" fontId="12" fillId="3" borderId="12" xfId="1" applyFont="1" applyBorder="1" applyAlignment="1">
      <alignment vertical="top" wrapText="1"/>
    </xf>
    <xf numFmtId="0" fontId="9" fillId="0" borderId="12" xfId="0" applyFont="1" applyFill="1" applyBorder="1" applyAlignment="1">
      <alignment vertical="top" wrapText="1"/>
    </xf>
    <xf numFmtId="0" fontId="11" fillId="2" borderId="12" xfId="0" applyFont="1" applyFill="1" applyBorder="1" applyAlignment="1">
      <alignment vertical="top" wrapText="1"/>
    </xf>
    <xf numFmtId="0" fontId="11" fillId="0" borderId="12" xfId="0" applyFont="1" applyFill="1" applyBorder="1" applyAlignment="1">
      <alignment vertical="top" wrapText="1"/>
    </xf>
    <xf numFmtId="0" fontId="11" fillId="0" borderId="13" xfId="0" applyFont="1" applyFill="1" applyBorder="1" applyAlignment="1">
      <alignment vertical="top" wrapText="1"/>
    </xf>
    <xf numFmtId="0" fontId="13" fillId="5" borderId="14" xfId="3" applyFont="1" applyBorder="1" applyAlignment="1">
      <alignment vertical="top" wrapText="1"/>
    </xf>
    <xf numFmtId="0" fontId="5" fillId="4" borderId="4" xfId="2" applyAlignment="1">
      <alignment vertical="top" wrapText="1"/>
    </xf>
    <xf numFmtId="0" fontId="14" fillId="4" borderId="4" xfId="2" applyFont="1" applyAlignment="1">
      <alignment vertical="top" wrapText="1"/>
    </xf>
    <xf numFmtId="0" fontId="10" fillId="0" borderId="12" xfId="0" applyFont="1" applyBorder="1" applyAlignment="1">
      <alignment vertical="top" wrapText="1"/>
    </xf>
    <xf numFmtId="0" fontId="0" fillId="0" borderId="0" xfId="0" applyBorder="1" applyAlignment="1">
      <alignment vertical="top" wrapText="1"/>
    </xf>
    <xf numFmtId="0" fontId="15" fillId="0" borderId="12" xfId="0" applyFont="1" applyBorder="1" applyAlignment="1">
      <alignment vertical="top" wrapText="1"/>
    </xf>
    <xf numFmtId="0" fontId="0" fillId="6" borderId="9" xfId="0" applyFill="1" applyBorder="1" applyAlignment="1">
      <alignment vertical="top"/>
    </xf>
    <xf numFmtId="0" fontId="0" fillId="6" borderId="1" xfId="0" applyFill="1" applyBorder="1" applyAlignment="1">
      <alignment vertical="top"/>
    </xf>
    <xf numFmtId="0" fontId="0" fillId="6" borderId="0" xfId="0" applyFill="1" applyAlignment="1">
      <alignment vertical="top"/>
    </xf>
    <xf numFmtId="0" fontId="0" fillId="7" borderId="0" xfId="0" applyFill="1" applyAlignment="1">
      <alignment vertical="top"/>
    </xf>
    <xf numFmtId="0" fontId="16" fillId="0" borderId="6" xfId="0" applyFont="1" applyBorder="1" applyAlignment="1">
      <alignment vertical="center" wrapText="1"/>
    </xf>
    <xf numFmtId="0" fontId="16" fillId="0" borderId="15" xfId="0" applyFont="1" applyBorder="1" applyAlignment="1">
      <alignment horizontal="center" vertical="center" wrapText="1"/>
    </xf>
    <xf numFmtId="0" fontId="7" fillId="8" borderId="16" xfId="0" applyFont="1" applyFill="1" applyBorder="1" applyAlignment="1">
      <alignment vertical="center" wrapText="1"/>
    </xf>
    <xf numFmtId="0" fontId="7" fillId="8" borderId="17" xfId="0" applyFont="1" applyFill="1" applyBorder="1" applyAlignment="1">
      <alignment horizontal="center" vertical="center" wrapText="1"/>
    </xf>
    <xf numFmtId="0" fontId="7" fillId="0" borderId="16" xfId="0" applyFont="1" applyBorder="1" applyAlignment="1">
      <alignment vertical="center" wrapText="1"/>
    </xf>
    <xf numFmtId="0" fontId="7" fillId="0" borderId="17" xfId="0" applyFont="1" applyBorder="1" applyAlignment="1">
      <alignment horizontal="center" vertical="center" wrapText="1"/>
    </xf>
    <xf numFmtId="0" fontId="7" fillId="9" borderId="16" xfId="0" applyFont="1" applyFill="1" applyBorder="1" applyAlignment="1">
      <alignment vertical="center" wrapText="1"/>
    </xf>
    <xf numFmtId="0" fontId="7" fillId="9" borderId="17" xfId="0" applyFont="1" applyFill="1" applyBorder="1" applyAlignment="1">
      <alignment horizontal="center" vertical="center" wrapText="1"/>
    </xf>
    <xf numFmtId="0" fontId="16" fillId="0" borderId="0" xfId="0" applyFont="1" applyAlignment="1">
      <alignment vertical="center"/>
    </xf>
    <xf numFmtId="0" fontId="7" fillId="0" borderId="0" xfId="0" applyFont="1" applyAlignment="1">
      <alignment vertical="center"/>
    </xf>
    <xf numFmtId="0" fontId="16" fillId="8" borderId="6" xfId="0" applyFont="1" applyFill="1" applyBorder="1" applyAlignment="1">
      <alignment horizontal="left" vertical="top" wrapText="1"/>
    </xf>
    <xf numFmtId="0" fontId="7" fillId="8" borderId="15" xfId="0" applyFont="1" applyFill="1" applyBorder="1" applyAlignment="1">
      <alignment vertical="top" wrapText="1"/>
    </xf>
    <xf numFmtId="0" fontId="16" fillId="0" borderId="16" xfId="0" applyFont="1" applyBorder="1" applyAlignment="1">
      <alignment vertical="top" wrapText="1"/>
    </xf>
    <xf numFmtId="0" fontId="7" fillId="0" borderId="17" xfId="0" applyFont="1" applyBorder="1" applyAlignment="1">
      <alignment vertical="top" wrapText="1"/>
    </xf>
    <xf numFmtId="0" fontId="16" fillId="8" borderId="16" xfId="0" applyFont="1" applyFill="1" applyBorder="1" applyAlignment="1">
      <alignment vertical="top" wrapText="1"/>
    </xf>
    <xf numFmtId="0" fontId="7" fillId="8" borderId="17" xfId="0" applyFont="1" applyFill="1" applyBorder="1" applyAlignment="1">
      <alignment vertical="top" wrapText="1"/>
    </xf>
    <xf numFmtId="0" fontId="16" fillId="0" borderId="0" xfId="0" applyFont="1" applyAlignment="1">
      <alignment horizontal="center" vertical="center"/>
    </xf>
    <xf numFmtId="0" fontId="16" fillId="0" borderId="17" xfId="0" applyFont="1" applyBorder="1" applyAlignment="1">
      <alignment horizontal="center" vertical="center" wrapText="1"/>
    </xf>
    <xf numFmtId="0" fontId="16" fillId="8" borderId="16" xfId="0" applyFont="1" applyFill="1" applyBorder="1" applyAlignment="1">
      <alignment horizontal="center" vertical="center" wrapText="1"/>
    </xf>
    <xf numFmtId="0" fontId="16" fillId="0" borderId="16" xfId="0" applyFont="1" applyBorder="1" applyAlignment="1">
      <alignment horizontal="center" vertical="center" wrapText="1"/>
    </xf>
    <xf numFmtId="0" fontId="16" fillId="0" borderId="16" xfId="0" applyFont="1" applyBorder="1" applyAlignment="1">
      <alignment horizontal="center" vertical="center" wrapText="1"/>
    </xf>
    <xf numFmtId="0" fontId="7" fillId="0" borderId="0" xfId="0" applyFont="1" applyAlignment="1">
      <alignment horizontal="center" vertical="center"/>
    </xf>
    <xf numFmtId="0" fontId="7" fillId="8" borderId="20" xfId="0" applyFont="1" applyFill="1" applyBorder="1" applyAlignment="1">
      <alignment vertical="center" wrapText="1"/>
    </xf>
    <xf numFmtId="0" fontId="7" fillId="0" borderId="20" xfId="0" applyFont="1" applyBorder="1" applyAlignment="1">
      <alignment vertical="center" wrapText="1"/>
    </xf>
    <xf numFmtId="6" fontId="0" fillId="0" borderId="0" xfId="0" applyNumberFormat="1"/>
    <xf numFmtId="0" fontId="0" fillId="0" borderId="0" xfId="0" applyBorder="1" applyAlignment="1">
      <alignment vertical="top"/>
    </xf>
    <xf numFmtId="6" fontId="0" fillId="0" borderId="9" xfId="0" applyNumberFormat="1" applyBorder="1" applyAlignment="1">
      <alignment vertical="top"/>
    </xf>
    <xf numFmtId="6" fontId="0" fillId="0" borderId="0" xfId="0" applyNumberFormat="1" applyBorder="1" applyAlignment="1">
      <alignment vertical="top"/>
    </xf>
    <xf numFmtId="0" fontId="0" fillId="0" borderId="0" xfId="0" applyFill="1" applyBorder="1" applyAlignment="1">
      <alignment vertical="top" wrapText="1"/>
    </xf>
    <xf numFmtId="6" fontId="0" fillId="0" borderId="9" xfId="0" applyNumberFormat="1" applyBorder="1" applyAlignment="1">
      <alignment vertical="top" wrapText="1"/>
    </xf>
    <xf numFmtId="6" fontId="0" fillId="0" borderId="3" xfId="0" applyNumberFormat="1" applyBorder="1" applyAlignment="1">
      <alignment vertical="top" wrapText="1"/>
    </xf>
    <xf numFmtId="6" fontId="0" fillId="0" borderId="2" xfId="0" applyNumberFormat="1" applyBorder="1" applyAlignment="1">
      <alignment vertical="top" wrapText="1"/>
    </xf>
    <xf numFmtId="6" fontId="0" fillId="0" borderId="1" xfId="0" applyNumberFormat="1" applyBorder="1" applyAlignment="1">
      <alignment vertical="top"/>
    </xf>
    <xf numFmtId="0" fontId="0" fillId="12" borderId="0" xfId="0" applyFill="1" applyAlignment="1">
      <alignment vertical="top"/>
    </xf>
    <xf numFmtId="0" fontId="0" fillId="13" borderId="0" xfId="0" applyFill="1" applyAlignment="1">
      <alignment vertical="top"/>
    </xf>
    <xf numFmtId="0" fontId="16" fillId="8" borderId="6" xfId="0" applyFont="1" applyFill="1" applyBorder="1" applyAlignment="1">
      <alignment horizontal="center" vertical="center" wrapText="1"/>
    </xf>
    <xf numFmtId="0" fontId="16" fillId="0" borderId="17" xfId="0" applyFont="1" applyBorder="1" applyAlignment="1">
      <alignment horizontal="center" vertical="top" wrapText="1"/>
    </xf>
    <xf numFmtId="0" fontId="7" fillId="8" borderId="17" xfId="0" applyFont="1" applyFill="1" applyBorder="1" applyAlignment="1">
      <alignment horizontal="center" vertical="top" wrapText="1"/>
    </xf>
    <xf numFmtId="0" fontId="7" fillId="0" borderId="17" xfId="0" applyFont="1" applyBorder="1" applyAlignment="1">
      <alignment horizontal="center" vertical="top" wrapText="1"/>
    </xf>
    <xf numFmtId="0" fontId="16" fillId="8" borderId="15" xfId="0" applyFont="1" applyFill="1" applyBorder="1" applyAlignment="1">
      <alignment vertical="top" wrapText="1"/>
    </xf>
    <xf numFmtId="0" fontId="16" fillId="0" borderId="20" xfId="0" applyFont="1" applyBorder="1" applyAlignment="1">
      <alignment vertical="top" wrapText="1"/>
    </xf>
    <xf numFmtId="0" fontId="16" fillId="0" borderId="15" xfId="0" applyFont="1" applyBorder="1" applyAlignment="1">
      <alignment vertical="top" wrapText="1"/>
    </xf>
    <xf numFmtId="6" fontId="0" fillId="0" borderId="0" xfId="0" applyNumberFormat="1" applyAlignment="1">
      <alignment vertical="top"/>
    </xf>
    <xf numFmtId="0" fontId="1" fillId="0" borderId="0" xfId="0" applyFont="1" applyAlignment="1">
      <alignment vertical="top"/>
    </xf>
    <xf numFmtId="0" fontId="7" fillId="0" borderId="0" xfId="0" applyFont="1" applyAlignment="1">
      <alignment horizontal="left" vertical="top" wrapText="1" indent="2"/>
    </xf>
    <xf numFmtId="0" fontId="20" fillId="0" borderId="0" xfId="0" applyFont="1" applyAlignment="1">
      <alignment vertical="top" wrapText="1"/>
    </xf>
    <xf numFmtId="0" fontId="19" fillId="11" borderId="4" xfId="5" applyAlignment="1">
      <alignment vertical="top" wrapText="1"/>
    </xf>
    <xf numFmtId="6" fontId="0" fillId="0" borderId="10" xfId="0" applyNumberFormat="1" applyBorder="1" applyAlignment="1">
      <alignment vertical="top"/>
    </xf>
    <xf numFmtId="0" fontId="1" fillId="0" borderId="0" xfId="0" applyFont="1" applyAlignment="1">
      <alignment vertical="top" wrapText="1"/>
    </xf>
    <xf numFmtId="0" fontId="1" fillId="0" borderId="1" xfId="0" applyFont="1" applyBorder="1" applyAlignment="1">
      <alignment vertical="top" wrapText="1"/>
    </xf>
    <xf numFmtId="0" fontId="0" fillId="0" borderId="1" xfId="0" applyBorder="1" applyAlignment="1">
      <alignment horizontal="center" vertical="top" wrapText="1"/>
    </xf>
    <xf numFmtId="6" fontId="0" fillId="0" borderId="1" xfId="0" applyNumberFormat="1" applyBorder="1" applyAlignment="1">
      <alignment horizontal="center" vertical="top" wrapText="1"/>
    </xf>
    <xf numFmtId="0" fontId="21" fillId="0" borderId="9" xfId="6" applyBorder="1" applyAlignment="1">
      <alignment vertical="top"/>
    </xf>
    <xf numFmtId="0" fontId="23" fillId="0" borderId="0" xfId="0" applyFont="1" applyAlignment="1">
      <alignment vertical="top"/>
    </xf>
    <xf numFmtId="0" fontId="22" fillId="0" borderId="9" xfId="0" applyFont="1" applyBorder="1" applyAlignment="1">
      <alignment vertical="top"/>
    </xf>
    <xf numFmtId="0" fontId="1" fillId="0" borderId="0" xfId="0" applyFont="1" applyAlignment="1">
      <alignment wrapText="1"/>
    </xf>
    <xf numFmtId="0" fontId="0" fillId="13" borderId="0" xfId="0" applyFill="1" applyAlignment="1">
      <alignment vertical="top" wrapText="1"/>
    </xf>
    <xf numFmtId="0" fontId="0" fillId="14" borderId="0" xfId="0" applyFill="1" applyAlignment="1">
      <alignment vertical="top" wrapText="1"/>
    </xf>
    <xf numFmtId="0" fontId="21" fillId="0" borderId="0" xfId="6" applyAlignment="1">
      <alignment vertical="top"/>
    </xf>
    <xf numFmtId="16" fontId="0" fillId="0" borderId="0" xfId="0" applyNumberFormat="1" applyAlignment="1">
      <alignment vertical="top"/>
    </xf>
    <xf numFmtId="0" fontId="16" fillId="8" borderId="15" xfId="0" applyFont="1" applyFill="1" applyBorder="1" applyAlignment="1">
      <alignment horizontal="center" vertical="center"/>
    </xf>
    <xf numFmtId="0" fontId="7" fillId="0" borderId="16" xfId="0" applyFont="1" applyBorder="1" applyAlignment="1">
      <alignment vertical="center"/>
    </xf>
    <xf numFmtId="8" fontId="7" fillId="0" borderId="17" xfId="0" applyNumberFormat="1" applyFont="1" applyBorder="1" applyAlignment="1">
      <alignment vertical="center"/>
    </xf>
    <xf numFmtId="0" fontId="7" fillId="0" borderId="17" xfId="0" applyFont="1" applyBorder="1" applyAlignment="1">
      <alignment horizontal="center" vertical="center"/>
    </xf>
    <xf numFmtId="0" fontId="7" fillId="8" borderId="16" xfId="0" applyFont="1" applyFill="1" applyBorder="1" applyAlignment="1">
      <alignment vertical="center"/>
    </xf>
    <xf numFmtId="8" fontId="7" fillId="8" borderId="17" xfId="0" applyNumberFormat="1" applyFont="1" applyFill="1" applyBorder="1" applyAlignment="1">
      <alignment vertical="center"/>
    </xf>
    <xf numFmtId="0" fontId="7" fillId="8" borderId="17" xfId="0" applyFont="1" applyFill="1" applyBorder="1" applyAlignment="1">
      <alignment horizontal="center" vertical="center"/>
    </xf>
    <xf numFmtId="0" fontId="18" fillId="10" borderId="1" xfId="4" applyBorder="1" applyAlignment="1">
      <alignment vertical="top" wrapText="1"/>
    </xf>
    <xf numFmtId="3" fontId="0" fillId="0" borderId="0" xfId="0" applyNumberFormat="1"/>
    <xf numFmtId="0" fontId="0" fillId="15" borderId="1" xfId="0" applyFill="1" applyBorder="1" applyAlignment="1">
      <alignment vertical="top" wrapText="1"/>
    </xf>
    <xf numFmtId="0" fontId="0" fillId="0" borderId="1" xfId="0" applyFill="1" applyBorder="1" applyAlignment="1">
      <alignment vertical="top" wrapText="1"/>
    </xf>
    <xf numFmtId="0" fontId="9" fillId="0" borderId="1" xfId="0" applyFont="1" applyBorder="1" applyAlignment="1">
      <alignment vertical="top" wrapText="1"/>
    </xf>
    <xf numFmtId="0" fontId="11" fillId="0" borderId="1" xfId="0" applyFont="1" applyBorder="1" applyAlignment="1">
      <alignment vertical="top" wrapText="1"/>
    </xf>
    <xf numFmtId="0" fontId="15" fillId="0" borderId="1" xfId="0" applyFont="1" applyBorder="1" applyAlignment="1">
      <alignment vertical="top" wrapText="1"/>
    </xf>
    <xf numFmtId="0" fontId="10" fillId="0" borderId="1" xfId="0" applyFont="1" applyBorder="1" applyAlignment="1">
      <alignment vertical="top" wrapText="1"/>
    </xf>
    <xf numFmtId="0" fontId="12" fillId="3" borderId="1" xfId="1" applyFont="1" applyBorder="1" applyAlignment="1">
      <alignment vertical="top" wrapText="1"/>
    </xf>
    <xf numFmtId="0" fontId="9" fillId="0" borderId="1" xfId="0" applyFont="1" applyFill="1" applyBorder="1" applyAlignment="1">
      <alignment vertical="top" wrapText="1"/>
    </xf>
    <xf numFmtId="0" fontId="9" fillId="16" borderId="1" xfId="0" applyFont="1" applyFill="1" applyBorder="1" applyAlignment="1">
      <alignment vertical="top" wrapText="1"/>
    </xf>
    <xf numFmtId="0" fontId="11" fillId="2" borderId="1" xfId="0" applyFont="1" applyFill="1" applyBorder="1" applyAlignment="1">
      <alignment vertical="top" wrapText="1"/>
    </xf>
    <xf numFmtId="0" fontId="11" fillId="0" borderId="1" xfId="0" applyFont="1" applyFill="1" applyBorder="1" applyAlignment="1">
      <alignment vertical="top" wrapText="1"/>
    </xf>
    <xf numFmtId="0" fontId="13" fillId="5" borderId="1" xfId="3" applyFont="1" applyBorder="1" applyAlignment="1">
      <alignment vertical="top" wrapText="1"/>
    </xf>
    <xf numFmtId="0" fontId="21" fillId="0" borderId="1" xfId="6" applyFill="1" applyBorder="1" applyAlignment="1">
      <alignment vertical="top" wrapText="1"/>
    </xf>
    <xf numFmtId="6" fontId="1" fillId="0" borderId="1" xfId="0" applyNumberFormat="1" applyFont="1" applyFill="1" applyBorder="1" applyAlignment="1">
      <alignment vertical="top" wrapText="1"/>
    </xf>
    <xf numFmtId="0" fontId="21" fillId="0" borderId="1" xfId="6" applyBorder="1" applyAlignment="1">
      <alignment vertical="top" wrapText="1"/>
    </xf>
    <xf numFmtId="0" fontId="0" fillId="17" borderId="1" xfId="0" applyFill="1" applyBorder="1" applyAlignment="1">
      <alignment vertical="top" wrapText="1"/>
    </xf>
    <xf numFmtId="0" fontId="0" fillId="2" borderId="0" xfId="0" applyFill="1" applyAlignment="1">
      <alignment vertical="top"/>
    </xf>
    <xf numFmtId="0" fontId="0" fillId="2" borderId="1" xfId="0" applyFill="1" applyBorder="1" applyAlignment="1">
      <alignment vertical="top"/>
    </xf>
    <xf numFmtId="0" fontId="24" fillId="4" borderId="1" xfId="2" applyFont="1" applyBorder="1" applyAlignment="1">
      <alignment vertical="top" wrapText="1"/>
    </xf>
    <xf numFmtId="0" fontId="14" fillId="4" borderId="1" xfId="2" applyFont="1" applyBorder="1" applyAlignment="1">
      <alignment vertical="top" wrapText="1"/>
    </xf>
    <xf numFmtId="0" fontId="5" fillId="4" borderId="1" xfId="2" applyBorder="1" applyAlignment="1">
      <alignment vertical="top" wrapText="1"/>
    </xf>
    <xf numFmtId="0" fontId="21" fillId="0" borderId="1" xfId="6" applyBorder="1" applyAlignment="1">
      <alignment vertical="top"/>
    </xf>
    <xf numFmtId="0" fontId="1" fillId="0" borderId="1" xfId="0" applyFont="1" applyBorder="1" applyAlignment="1">
      <alignment vertical="top"/>
    </xf>
    <xf numFmtId="165" fontId="0" fillId="0" borderId="0" xfId="0" applyNumberFormat="1"/>
    <xf numFmtId="167" fontId="0" fillId="0" borderId="0" xfId="0" applyNumberFormat="1"/>
    <xf numFmtId="49" fontId="7" fillId="8" borderId="17" xfId="0" applyNumberFormat="1" applyFont="1" applyFill="1" applyBorder="1" applyAlignment="1">
      <alignment horizontal="center" vertical="center"/>
    </xf>
    <xf numFmtId="0" fontId="0" fillId="2" borderId="1" xfId="0" applyFill="1" applyBorder="1" applyAlignment="1">
      <alignment vertical="top" wrapText="1"/>
    </xf>
    <xf numFmtId="0" fontId="0" fillId="18" borderId="1" xfId="0" applyFill="1" applyBorder="1" applyAlignment="1">
      <alignment vertical="top" wrapText="1"/>
    </xf>
    <xf numFmtId="0" fontId="9" fillId="18" borderId="1" xfId="0" applyFont="1" applyFill="1" applyBorder="1" applyAlignment="1">
      <alignment vertical="top" wrapText="1"/>
    </xf>
    <xf numFmtId="0" fontId="0" fillId="2" borderId="1" xfId="0" applyFill="1" applyBorder="1" applyAlignment="1">
      <alignment horizontal="right" vertical="top" wrapText="1"/>
    </xf>
    <xf numFmtId="0" fontId="20" fillId="0" borderId="1" xfId="0" applyFont="1" applyBorder="1" applyAlignment="1">
      <alignment vertical="top" wrapText="1"/>
    </xf>
    <xf numFmtId="0" fontId="0" fillId="2" borderId="1" xfId="0" applyFill="1" applyBorder="1" applyAlignment="1">
      <alignment horizontal="center" vertical="top" wrapText="1"/>
    </xf>
    <xf numFmtId="0" fontId="0" fillId="0" borderId="23" xfId="0" applyBorder="1" applyAlignment="1">
      <alignment vertical="top" wrapText="1"/>
    </xf>
    <xf numFmtId="0" fontId="9" fillId="0" borderId="23" xfId="0" applyFont="1" applyBorder="1" applyAlignment="1">
      <alignment vertical="top" wrapText="1"/>
    </xf>
    <xf numFmtId="0" fontId="0" fillId="2" borderId="0" xfId="0" applyFill="1" applyBorder="1" applyAlignment="1">
      <alignment vertical="top" wrapText="1"/>
    </xf>
    <xf numFmtId="0" fontId="0" fillId="2" borderId="22" xfId="0" applyFill="1" applyBorder="1" applyAlignment="1">
      <alignment vertical="top" wrapText="1"/>
    </xf>
    <xf numFmtId="0" fontId="1" fillId="0" borderId="1" xfId="0" applyFont="1" applyBorder="1"/>
    <xf numFmtId="0" fontId="0" fillId="0" borderId="1" xfId="0" applyBorder="1"/>
    <xf numFmtId="0" fontId="21" fillId="0" borderId="0" xfId="6"/>
    <xf numFmtId="0" fontId="26" fillId="0" borderId="0" xfId="0" applyFont="1"/>
    <xf numFmtId="164" fontId="0" fillId="0" borderId="0" xfId="0" applyNumberFormat="1"/>
    <xf numFmtId="0" fontId="26" fillId="0" borderId="1" xfId="0" applyFont="1" applyBorder="1" applyAlignment="1">
      <alignment vertical="top"/>
    </xf>
    <xf numFmtId="0" fontId="25" fillId="0" borderId="1" xfId="0" applyFont="1" applyBorder="1" applyAlignment="1">
      <alignment vertical="top"/>
    </xf>
    <xf numFmtId="0" fontId="26" fillId="0" borderId="1" xfId="0" applyFont="1" applyBorder="1"/>
    <xf numFmtId="0" fontId="25" fillId="0" borderId="1" xfId="0" applyFont="1" applyBorder="1"/>
    <xf numFmtId="0" fontId="26" fillId="19" borderId="24" xfId="0" applyFont="1" applyFill="1" applyBorder="1" applyAlignment="1">
      <alignment horizontal="left" vertical="center" wrapText="1" indent="1"/>
    </xf>
    <xf numFmtId="0" fontId="25" fillId="0" borderId="0" xfId="0" applyFont="1"/>
    <xf numFmtId="0" fontId="0" fillId="0" borderId="0" xfId="0" applyFill="1" applyBorder="1" applyAlignment="1">
      <alignment wrapText="1"/>
    </xf>
    <xf numFmtId="0" fontId="0" fillId="2" borderId="0" xfId="0" applyFill="1"/>
    <xf numFmtId="0" fontId="0" fillId="0" borderId="1" xfId="0" applyBorder="1" applyAlignment="1">
      <alignment wrapText="1"/>
    </xf>
    <xf numFmtId="0" fontId="0" fillId="0" borderId="0" xfId="0" applyAlignment="1">
      <alignment horizontal="center"/>
    </xf>
    <xf numFmtId="0" fontId="0" fillId="2" borderId="0" xfId="0" applyFill="1" applyAlignment="1">
      <alignment wrapText="1"/>
    </xf>
    <xf numFmtId="0" fontId="0" fillId="20" borderId="0" xfId="0" applyFill="1"/>
    <xf numFmtId="0" fontId="25" fillId="0" borderId="0" xfId="0" applyFont="1" applyAlignment="1">
      <alignment vertical="top"/>
    </xf>
    <xf numFmtId="0" fontId="26" fillId="0" borderId="0" xfId="0" applyFont="1" applyAlignment="1">
      <alignment wrapText="1"/>
    </xf>
    <xf numFmtId="0" fontId="26" fillId="0" borderId="0" xfId="0" applyFont="1" applyAlignment="1">
      <alignment horizontal="left" vertical="top" wrapText="1"/>
    </xf>
    <xf numFmtId="0" fontId="25" fillId="0" borderId="0" xfId="0" applyFont="1" applyAlignment="1">
      <alignment wrapText="1"/>
    </xf>
    <xf numFmtId="0" fontId="1" fillId="0" borderId="1" xfId="0" applyFont="1" applyFill="1" applyBorder="1"/>
    <xf numFmtId="0" fontId="0" fillId="0" borderId="1" xfId="0" applyFill="1" applyBorder="1"/>
    <xf numFmtId="0" fontId="1" fillId="0" borderId="23" xfId="0" applyFont="1" applyBorder="1" applyAlignment="1">
      <alignment wrapText="1"/>
    </xf>
    <xf numFmtId="0" fontId="9" fillId="0" borderId="11" xfId="0" applyFont="1" applyBorder="1" applyAlignment="1">
      <alignment horizontal="center" vertical="center"/>
    </xf>
    <xf numFmtId="0" fontId="9" fillId="0" borderId="12" xfId="0" applyFont="1" applyBorder="1" applyAlignment="1">
      <alignment horizontal="center" vertical="center"/>
    </xf>
    <xf numFmtId="0" fontId="9" fillId="0" borderId="12" xfId="0" applyFont="1" applyBorder="1" applyAlignment="1">
      <alignment horizontal="center" vertical="center" wrapText="1"/>
    </xf>
    <xf numFmtId="0" fontId="27" fillId="0" borderId="0" xfId="7"/>
    <xf numFmtId="0" fontId="28" fillId="23" borderId="0" xfId="7" applyFont="1" applyFill="1" applyAlignment="1">
      <alignment horizontal="center" vertical="center"/>
    </xf>
    <xf numFmtId="0" fontId="27" fillId="23" borderId="0" xfId="7" applyFill="1" applyAlignment="1">
      <alignment horizontal="center" vertical="center"/>
    </xf>
    <xf numFmtId="0" fontId="27" fillId="0" borderId="0" xfId="7" applyAlignment="1">
      <alignment horizontal="center" vertical="center"/>
    </xf>
    <xf numFmtId="0" fontId="27" fillId="24" borderId="0" xfId="7" applyFill="1" applyAlignment="1">
      <alignment horizontal="center" vertical="center"/>
    </xf>
    <xf numFmtId="0" fontId="27" fillId="24" borderId="0" xfId="7" applyFill="1"/>
    <xf numFmtId="0" fontId="0" fillId="0" borderId="0" xfId="0" applyFill="1" applyAlignment="1">
      <alignment vertical="top"/>
    </xf>
    <xf numFmtId="0" fontId="1" fillId="23" borderId="0" xfId="0" applyFont="1" applyFill="1" applyAlignment="1">
      <alignment vertical="top"/>
    </xf>
    <xf numFmtId="0" fontId="1" fillId="23" borderId="0" xfId="0" applyFont="1" applyFill="1"/>
    <xf numFmtId="0" fontId="1" fillId="25" borderId="0" xfId="0" applyFont="1" applyFill="1"/>
    <xf numFmtId="0" fontId="1" fillId="0" borderId="0" xfId="0" applyFont="1" applyFill="1"/>
    <xf numFmtId="0" fontId="0" fillId="0" borderId="0" xfId="0" applyFill="1"/>
    <xf numFmtId="0" fontId="0" fillId="0" borderId="0" xfId="0" applyAlignment="1">
      <alignment horizontal="center" wrapText="1"/>
    </xf>
    <xf numFmtId="0" fontId="0" fillId="2" borderId="0" xfId="0" applyFill="1" applyAlignment="1">
      <alignment vertical="top" wrapText="1"/>
    </xf>
    <xf numFmtId="164" fontId="0" fillId="0" borderId="1" xfId="0" applyNumberFormat="1" applyBorder="1" applyAlignment="1">
      <alignment vertical="top" wrapText="1"/>
    </xf>
    <xf numFmtId="0" fontId="0" fillId="2" borderId="1" xfId="0" applyFill="1" applyBorder="1"/>
    <xf numFmtId="0" fontId="0" fillId="2" borderId="0" xfId="0" applyFill="1" applyBorder="1"/>
    <xf numFmtId="0" fontId="26" fillId="0" borderId="1" xfId="0" applyFont="1" applyBorder="1" applyAlignment="1">
      <alignment wrapText="1"/>
    </xf>
    <xf numFmtId="164" fontId="0" fillId="0" borderId="1" xfId="0" applyNumberFormat="1" applyBorder="1"/>
    <xf numFmtId="0" fontId="25" fillId="0" borderId="1" xfId="0" applyFont="1" applyBorder="1" applyAlignment="1">
      <alignment wrapText="1"/>
    </xf>
    <xf numFmtId="0" fontId="26" fillId="2" borderId="1" xfId="0" applyFont="1" applyFill="1" applyBorder="1" applyAlignment="1">
      <alignment wrapText="1"/>
    </xf>
    <xf numFmtId="0" fontId="0" fillId="0" borderId="0" xfId="0" applyAlignment="1">
      <alignment horizontal="center"/>
    </xf>
    <xf numFmtId="0" fontId="1" fillId="2" borderId="1" xfId="0" applyFont="1" applyFill="1" applyBorder="1" applyAlignment="1">
      <alignment vertical="top" wrapText="1"/>
    </xf>
    <xf numFmtId="0" fontId="30" fillId="26" borderId="0" xfId="0" applyFont="1" applyFill="1"/>
    <xf numFmtId="0" fontId="30" fillId="26" borderId="28" xfId="0" applyFont="1" applyFill="1" applyBorder="1" applyAlignment="1">
      <alignment horizontal="center"/>
    </xf>
    <xf numFmtId="0" fontId="30" fillId="27" borderId="29" xfId="0" applyFont="1" applyFill="1" applyBorder="1"/>
    <xf numFmtId="0" fontId="30" fillId="27" borderId="0" xfId="0" applyFont="1" applyFill="1"/>
    <xf numFmtId="0" fontId="30" fillId="27" borderId="0" xfId="0" applyFont="1" applyFill="1" applyAlignment="1">
      <alignment horizontal="center"/>
    </xf>
    <xf numFmtId="0" fontId="30" fillId="27" borderId="28" xfId="0" applyFont="1" applyFill="1" applyBorder="1"/>
    <xf numFmtId="0" fontId="30" fillId="18" borderId="0" xfId="0" applyFont="1" applyFill="1"/>
    <xf numFmtId="0" fontId="30" fillId="28" borderId="29" xfId="0" applyFont="1" applyFill="1" applyBorder="1"/>
    <xf numFmtId="0" fontId="30" fillId="29" borderId="29" xfId="0" applyFont="1" applyFill="1" applyBorder="1"/>
    <xf numFmtId="0" fontId="30" fillId="29" borderId="28" xfId="0" applyFont="1" applyFill="1" applyBorder="1"/>
    <xf numFmtId="0" fontId="30" fillId="0" borderId="0" xfId="0" applyFont="1"/>
    <xf numFmtId="0" fontId="0" fillId="18" borderId="21" xfId="0" applyFill="1" applyBorder="1"/>
    <xf numFmtId="0" fontId="0" fillId="18" borderId="21" xfId="0" applyFill="1" applyBorder="1" applyAlignment="1">
      <alignment vertical="top" wrapText="1"/>
    </xf>
    <xf numFmtId="0" fontId="0" fillId="0" borderId="21" xfId="0" applyBorder="1" applyAlignment="1">
      <alignment vertical="top" wrapText="1"/>
    </xf>
    <xf numFmtId="0" fontId="0" fillId="0" borderId="28" xfId="0" applyBorder="1" applyAlignment="1">
      <alignment horizontal="center"/>
    </xf>
    <xf numFmtId="0" fontId="0" fillId="0" borderId="29" xfId="0" applyBorder="1"/>
    <xf numFmtId="0" fontId="0" fillId="0" borderId="0" xfId="0" applyFill="1" applyBorder="1" applyAlignment="1">
      <alignment horizontal="left" vertical="top" wrapText="1"/>
    </xf>
    <xf numFmtId="0" fontId="1" fillId="0" borderId="0" xfId="0" applyFont="1" applyFill="1" applyBorder="1" applyAlignment="1">
      <alignment horizontal="left"/>
    </xf>
    <xf numFmtId="0" fontId="0" fillId="0" borderId="0" xfId="0" applyFill="1" applyBorder="1" applyAlignment="1">
      <alignment horizontal="left"/>
    </xf>
    <xf numFmtId="0" fontId="0" fillId="0" borderId="0" xfId="0" applyFill="1" applyBorder="1" applyAlignment="1">
      <alignment horizontal="center"/>
    </xf>
    <xf numFmtId="0" fontId="0" fillId="0" borderId="28" xfId="0" applyBorder="1"/>
    <xf numFmtId="0" fontId="14" fillId="0" borderId="0" xfId="0" applyFont="1" applyAlignment="1">
      <alignment horizontal="left"/>
    </xf>
    <xf numFmtId="0" fontId="0" fillId="0" borderId="33" xfId="0" applyBorder="1"/>
    <xf numFmtId="0" fontId="0" fillId="0" borderId="34" xfId="0" applyBorder="1" applyAlignment="1">
      <alignment horizontal="center"/>
    </xf>
    <xf numFmtId="0" fontId="1" fillId="0" borderId="35" xfId="0" applyFont="1" applyBorder="1" applyAlignment="1">
      <alignment horizontal="center"/>
    </xf>
    <xf numFmtId="0" fontId="1" fillId="0" borderId="36" xfId="0" applyFont="1" applyBorder="1" applyAlignment="1">
      <alignment horizontal="center"/>
    </xf>
    <xf numFmtId="0" fontId="1" fillId="0" borderId="37" xfId="0" applyFont="1" applyBorder="1"/>
    <xf numFmtId="0" fontId="1" fillId="0" borderId="34" xfId="0" applyFont="1" applyBorder="1" applyAlignment="1">
      <alignment horizontal="center"/>
    </xf>
    <xf numFmtId="0" fontId="0" fillId="0" borderId="38" xfId="0" applyFill="1" applyBorder="1"/>
    <xf numFmtId="0" fontId="0" fillId="0" borderId="39" xfId="0" applyFill="1" applyBorder="1" applyAlignment="1">
      <alignment horizontal="center"/>
    </xf>
    <xf numFmtId="0" fontId="0" fillId="0" borderId="42" xfId="0" applyFill="1" applyBorder="1"/>
    <xf numFmtId="0" fontId="0" fillId="31" borderId="21" xfId="0" applyFill="1" applyBorder="1" applyAlignment="1">
      <alignment vertical="top" wrapText="1"/>
    </xf>
    <xf numFmtId="0" fontId="0" fillId="31" borderId="21" xfId="0" applyFill="1" applyBorder="1" applyAlignment="1">
      <alignment horizontal="center" vertical="top" wrapText="1"/>
    </xf>
    <xf numFmtId="0" fontId="0" fillId="31" borderId="31" xfId="0" applyFill="1" applyBorder="1" applyAlignment="1">
      <alignment horizontal="center" vertical="top" wrapText="1"/>
    </xf>
    <xf numFmtId="0" fontId="0" fillId="0" borderId="44" xfId="0" applyBorder="1"/>
    <xf numFmtId="0" fontId="0" fillId="0" borderId="44" xfId="0" applyBorder="1" applyAlignment="1">
      <alignment horizontal="center"/>
    </xf>
    <xf numFmtId="0" fontId="0" fillId="0" borderId="45" xfId="0" applyBorder="1"/>
    <xf numFmtId="3" fontId="0" fillId="0" borderId="39" xfId="0" applyNumberFormat="1" applyFill="1" applyBorder="1" applyAlignment="1">
      <alignment horizontal="center"/>
    </xf>
    <xf numFmtId="0" fontId="0" fillId="0" borderId="38" xfId="0" applyBorder="1"/>
    <xf numFmtId="0" fontId="0" fillId="0" borderId="38" xfId="0" applyBorder="1" applyAlignment="1">
      <alignment horizontal="center"/>
    </xf>
    <xf numFmtId="0" fontId="0" fillId="0" borderId="39" xfId="0" applyBorder="1"/>
    <xf numFmtId="9" fontId="0" fillId="0" borderId="38" xfId="0" applyNumberFormat="1" applyBorder="1" applyAlignment="1">
      <alignment horizontal="center"/>
    </xf>
    <xf numFmtId="9" fontId="0" fillId="0" borderId="39" xfId="9" applyFont="1" applyFill="1" applyBorder="1" applyAlignment="1">
      <alignment horizontal="center"/>
    </xf>
    <xf numFmtId="3" fontId="0" fillId="0" borderId="39" xfId="9" applyNumberFormat="1" applyFont="1" applyFill="1" applyBorder="1" applyAlignment="1">
      <alignment horizontal="center"/>
    </xf>
    <xf numFmtId="0" fontId="0" fillId="0" borderId="38" xfId="0" quotePrefix="1" applyFill="1" applyBorder="1"/>
    <xf numFmtId="3" fontId="0" fillId="0" borderId="38" xfId="0" applyNumberFormat="1" applyBorder="1" applyAlignment="1">
      <alignment horizontal="center"/>
    </xf>
    <xf numFmtId="0" fontId="1" fillId="0" borderId="42" xfId="0" applyFont="1" applyFill="1" applyBorder="1"/>
    <xf numFmtId="0" fontId="0" fillId="0" borderId="46" xfId="0" applyBorder="1"/>
    <xf numFmtId="0" fontId="0" fillId="0" borderId="46" xfId="0" applyBorder="1" applyAlignment="1">
      <alignment horizontal="center"/>
    </xf>
    <xf numFmtId="0" fontId="0" fillId="0" borderId="47" xfId="0" applyBorder="1"/>
    <xf numFmtId="0" fontId="0" fillId="0" borderId="42" xfId="0" applyBorder="1"/>
    <xf numFmtId="0" fontId="0" fillId="0" borderId="48" xfId="0" applyBorder="1"/>
    <xf numFmtId="0" fontId="0" fillId="0" borderId="46" xfId="0" quotePrefix="1" applyFill="1" applyBorder="1"/>
    <xf numFmtId="3" fontId="1" fillId="0" borderId="39" xfId="9" applyNumberFormat="1" applyFont="1" applyFill="1" applyBorder="1" applyAlignment="1">
      <alignment horizontal="center"/>
    </xf>
    <xf numFmtId="0" fontId="14" fillId="0" borderId="0" xfId="0" applyFont="1"/>
    <xf numFmtId="0" fontId="32" fillId="0" borderId="0" xfId="0" applyFont="1" applyAlignment="1">
      <alignment horizontal="right"/>
    </xf>
    <xf numFmtId="0" fontId="32" fillId="0" borderId="0" xfId="0" applyFont="1" applyAlignment="1">
      <alignment horizontal="center"/>
    </xf>
    <xf numFmtId="0" fontId="32" fillId="0" borderId="0" xfId="0" applyFont="1"/>
    <xf numFmtId="164" fontId="0" fillId="2" borderId="0" xfId="0" applyNumberFormat="1" applyFill="1"/>
    <xf numFmtId="0" fontId="0" fillId="2" borderId="0" xfId="0" applyFill="1" applyAlignment="1">
      <alignment horizontal="center"/>
    </xf>
    <xf numFmtId="0" fontId="0" fillId="31" borderId="0" xfId="0" applyFill="1"/>
    <xf numFmtId="0" fontId="0" fillId="0" borderId="0" xfId="0" applyFill="1" applyAlignment="1">
      <alignment horizontal="center"/>
    </xf>
    <xf numFmtId="0" fontId="0" fillId="31" borderId="0" xfId="0" applyFill="1" applyAlignment="1">
      <alignment horizontal="right"/>
    </xf>
    <xf numFmtId="0" fontId="0" fillId="0" borderId="0" xfId="0" applyFill="1" applyAlignment="1">
      <alignment horizontal="right"/>
    </xf>
    <xf numFmtId="164" fontId="0" fillId="2" borderId="0" xfId="0" applyNumberFormat="1" applyFill="1" applyAlignment="1">
      <alignment horizontal="right"/>
    </xf>
    <xf numFmtId="9" fontId="0" fillId="2" borderId="0" xfId="0" applyNumberFormat="1" applyFill="1"/>
    <xf numFmtId="0" fontId="0" fillId="0" borderId="39" xfId="0" applyFill="1" applyBorder="1"/>
    <xf numFmtId="0" fontId="0" fillId="0" borderId="48" xfId="0" applyFill="1" applyBorder="1"/>
    <xf numFmtId="0" fontId="0" fillId="0" borderId="29" xfId="0" applyFill="1" applyBorder="1"/>
    <xf numFmtId="0" fontId="0" fillId="0" borderId="0" xfId="0" applyAlignment="1">
      <alignment horizontal="center"/>
    </xf>
    <xf numFmtId="0" fontId="0" fillId="0" borderId="0" xfId="0" applyAlignment="1">
      <alignment horizontal="right"/>
    </xf>
    <xf numFmtId="0" fontId="0" fillId="0" borderId="49" xfId="0" applyBorder="1"/>
    <xf numFmtId="0" fontId="1" fillId="0" borderId="36" xfId="0" applyFont="1" applyBorder="1"/>
    <xf numFmtId="3" fontId="0" fillId="2" borderId="0" xfId="0" applyNumberFormat="1" applyFill="1"/>
    <xf numFmtId="3" fontId="0" fillId="0" borderId="49" xfId="0" applyNumberFormat="1" applyBorder="1"/>
    <xf numFmtId="3" fontId="0" fillId="0" borderId="49" xfId="0" applyNumberFormat="1" applyBorder="1" applyAlignment="1">
      <alignment horizontal="right"/>
    </xf>
    <xf numFmtId="3" fontId="0" fillId="0" borderId="0" xfId="0" applyNumberFormat="1" applyAlignment="1">
      <alignment horizontal="right"/>
    </xf>
    <xf numFmtId="0" fontId="16" fillId="8" borderId="50" xfId="0" applyFont="1" applyFill="1" applyBorder="1" applyAlignment="1">
      <alignment horizontal="center" vertical="center"/>
    </xf>
    <xf numFmtId="0" fontId="34" fillId="0" borderId="0" xfId="0" applyFont="1"/>
    <xf numFmtId="0" fontId="35" fillId="0" borderId="0" xfId="0" applyFont="1"/>
    <xf numFmtId="0" fontId="0" fillId="0" borderId="51" xfId="0" applyBorder="1"/>
    <xf numFmtId="0" fontId="1" fillId="0" borderId="21" xfId="0" applyFont="1" applyBorder="1"/>
    <xf numFmtId="9" fontId="0" fillId="0" borderId="0" xfId="0" applyNumberFormat="1"/>
    <xf numFmtId="9" fontId="0" fillId="0" borderId="0" xfId="9" applyFont="1"/>
    <xf numFmtId="9" fontId="0" fillId="0" borderId="51" xfId="9" applyFont="1" applyBorder="1"/>
    <xf numFmtId="3" fontId="0" fillId="0" borderId="51" xfId="0" applyNumberFormat="1" applyBorder="1"/>
    <xf numFmtId="0" fontId="9" fillId="2" borderId="1" xfId="0" applyFont="1" applyFill="1" applyBorder="1" applyAlignment="1">
      <alignment vertical="top" wrapText="1"/>
    </xf>
    <xf numFmtId="3" fontId="6" fillId="14" borderId="0" xfId="0" applyNumberFormat="1" applyFont="1" applyFill="1" applyAlignment="1">
      <alignment horizontal="right"/>
    </xf>
    <xf numFmtId="3" fontId="6" fillId="14" borderId="0" xfId="0" applyNumberFormat="1" applyFont="1" applyFill="1"/>
    <xf numFmtId="0" fontId="6" fillId="14" borderId="0" xfId="0" applyFont="1" applyFill="1"/>
    <xf numFmtId="0" fontId="0" fillId="0" borderId="0" xfId="0" applyBorder="1"/>
    <xf numFmtId="0" fontId="33" fillId="14" borderId="51" xfId="0" applyFont="1" applyFill="1" applyBorder="1"/>
    <xf numFmtId="0" fontId="0" fillId="2" borderId="0" xfId="0" applyFill="1" applyAlignment="1">
      <alignment horizontal="right"/>
    </xf>
    <xf numFmtId="0" fontId="9" fillId="31" borderId="0" xfId="0" applyFont="1" applyFill="1"/>
    <xf numFmtId="0" fontId="33" fillId="0" borderId="0" xfId="0" applyFont="1" applyFill="1" applyBorder="1"/>
    <xf numFmtId="0" fontId="0" fillId="0" borderId="0" xfId="0" applyFill="1" applyBorder="1"/>
    <xf numFmtId="0" fontId="9" fillId="31" borderId="0" xfId="0" applyFont="1" applyFill="1" applyBorder="1"/>
    <xf numFmtId="0" fontId="36" fillId="31" borderId="0" xfId="0" applyFont="1" applyFill="1" applyBorder="1"/>
    <xf numFmtId="0" fontId="0" fillId="0" borderId="52" xfId="0" applyBorder="1"/>
    <xf numFmtId="3" fontId="1" fillId="0" borderId="52" xfId="0" applyNumberFormat="1" applyFont="1" applyBorder="1"/>
    <xf numFmtId="0" fontId="0" fillId="0" borderId="42" xfId="0" applyFont="1" applyFill="1" applyBorder="1"/>
    <xf numFmtId="3" fontId="0" fillId="0" borderId="39" xfId="0" applyNumberFormat="1" applyFont="1" applyFill="1" applyBorder="1" applyAlignment="1">
      <alignment horizontal="center"/>
    </xf>
    <xf numFmtId="6" fontId="0" fillId="0" borderId="39" xfId="0" applyNumberFormat="1" applyFill="1" applyBorder="1" applyAlignment="1">
      <alignment horizontal="center"/>
    </xf>
    <xf numFmtId="0" fontId="33" fillId="14" borderId="0" xfId="0" applyFont="1" applyFill="1" applyBorder="1"/>
    <xf numFmtId="0" fontId="31" fillId="0" borderId="51" xfId="0" applyFont="1" applyFill="1" applyBorder="1"/>
    <xf numFmtId="0" fontId="31" fillId="0" borderId="0" xfId="0" applyFont="1" applyFill="1" applyBorder="1"/>
    <xf numFmtId="0" fontId="30" fillId="28" borderId="28" xfId="0" applyFont="1" applyFill="1" applyBorder="1" applyAlignment="1">
      <alignment horizontal="center"/>
    </xf>
    <xf numFmtId="0" fontId="0" fillId="0" borderId="28" xfId="0" applyFill="1" applyBorder="1" applyAlignment="1">
      <alignment horizontal="center"/>
    </xf>
    <xf numFmtId="1" fontId="0" fillId="2" borderId="0" xfId="0" applyNumberFormat="1" applyFill="1"/>
    <xf numFmtId="3" fontId="0" fillId="2" borderId="39" xfId="0" applyNumberFormat="1" applyFill="1" applyBorder="1" applyAlignment="1">
      <alignment horizontal="center"/>
    </xf>
    <xf numFmtId="164" fontId="0" fillId="2" borderId="39" xfId="0" applyNumberFormat="1" applyFill="1" applyBorder="1" applyAlignment="1">
      <alignment horizontal="center"/>
    </xf>
    <xf numFmtId="0" fontId="0" fillId="0" borderId="0" xfId="0" applyAlignment="1">
      <alignment horizontal="center"/>
    </xf>
    <xf numFmtId="0" fontId="0" fillId="0" borderId="0" xfId="0" quotePrefix="1"/>
    <xf numFmtId="0" fontId="9" fillId="0" borderId="0" xfId="0" applyFont="1" applyFill="1"/>
    <xf numFmtId="0" fontId="0" fillId="0" borderId="0" xfId="0" applyAlignment="1">
      <alignment horizontal="center"/>
    </xf>
    <xf numFmtId="1" fontId="0" fillId="2" borderId="39" xfId="0" applyNumberFormat="1" applyFill="1" applyBorder="1" applyAlignment="1">
      <alignment horizontal="center"/>
    </xf>
    <xf numFmtId="16" fontId="0" fillId="0" borderId="0" xfId="0" quotePrefix="1" applyNumberFormat="1"/>
    <xf numFmtId="9" fontId="0" fillId="2" borderId="39" xfId="0" applyNumberFormat="1" applyFill="1" applyBorder="1" applyAlignment="1">
      <alignment horizontal="center"/>
    </xf>
    <xf numFmtId="164" fontId="0" fillId="2" borderId="0" xfId="0" applyNumberFormat="1" applyFill="1" applyAlignment="1">
      <alignment horizontal="center"/>
    </xf>
    <xf numFmtId="170" fontId="0" fillId="2" borderId="0" xfId="0" applyNumberFormat="1" applyFill="1" applyAlignment="1">
      <alignment horizontal="center"/>
    </xf>
    <xf numFmtId="0" fontId="0" fillId="31" borderId="0" xfId="0" applyFill="1" applyAlignment="1">
      <alignment horizontal="center"/>
    </xf>
    <xf numFmtId="0" fontId="0" fillId="2" borderId="39" xfId="0" applyFill="1" applyBorder="1" applyAlignment="1">
      <alignment horizontal="center"/>
    </xf>
    <xf numFmtId="0" fontId="37" fillId="0" borderId="0" xfId="0" applyFont="1"/>
    <xf numFmtId="0" fontId="38" fillId="0" borderId="0" xfId="0" applyFont="1"/>
    <xf numFmtId="0" fontId="39" fillId="0" borderId="0" xfId="0" applyFont="1"/>
    <xf numFmtId="0" fontId="0" fillId="0" borderId="53" xfId="0" applyBorder="1"/>
    <xf numFmtId="6" fontId="0" fillId="0" borderId="53" xfId="0" applyNumberFormat="1" applyBorder="1" applyAlignment="1">
      <alignment horizontal="right"/>
    </xf>
    <xf numFmtId="6" fontId="0" fillId="0" borderId="38" xfId="0" applyNumberFormat="1" applyBorder="1" applyAlignment="1">
      <alignment horizontal="right"/>
    </xf>
    <xf numFmtId="9" fontId="0" fillId="0" borderId="38" xfId="9" applyFont="1" applyBorder="1" applyAlignment="1">
      <alignment horizontal="right"/>
    </xf>
    <xf numFmtId="0" fontId="0" fillId="31" borderId="54" xfId="0" applyFill="1" applyBorder="1" applyAlignment="1">
      <alignment horizontal="center"/>
    </xf>
    <xf numFmtId="0" fontId="0" fillId="0" borderId="0" xfId="0" applyAlignment="1">
      <alignment horizontal="center"/>
    </xf>
    <xf numFmtId="1" fontId="0" fillId="0" borderId="38" xfId="0" applyNumberFormat="1" applyBorder="1" applyAlignment="1">
      <alignment horizontal="center"/>
    </xf>
    <xf numFmtId="3" fontId="0" fillId="0" borderId="44" xfId="0" applyNumberFormat="1" applyBorder="1"/>
    <xf numFmtId="3" fontId="0" fillId="0" borderId="38" xfId="0" applyNumberFormat="1" applyBorder="1"/>
    <xf numFmtId="3" fontId="0" fillId="31" borderId="54" xfId="0" applyNumberFormat="1" applyFill="1" applyBorder="1" applyAlignment="1">
      <alignment horizontal="center"/>
    </xf>
    <xf numFmtId="0" fontId="37" fillId="0" borderId="28" xfId="0" applyFont="1" applyBorder="1"/>
    <xf numFmtId="0" fontId="41" fillId="18" borderId="33" xfId="0" applyFont="1" applyFill="1" applyBorder="1"/>
    <xf numFmtId="0" fontId="0" fillId="18" borderId="33" xfId="0" applyFill="1" applyBorder="1"/>
    <xf numFmtId="0" fontId="0" fillId="2" borderId="28" xfId="0" applyFill="1" applyBorder="1" applyAlignment="1">
      <alignment horizontal="center"/>
    </xf>
    <xf numFmtId="0" fontId="0" fillId="0" borderId="0" xfId="0" applyAlignment="1">
      <alignment horizontal="center"/>
    </xf>
    <xf numFmtId="0" fontId="40" fillId="32" borderId="0" xfId="0" applyFont="1" applyFill="1"/>
    <xf numFmtId="0" fontId="33" fillId="32" borderId="0" xfId="0" applyFont="1" applyFill="1"/>
    <xf numFmtId="0" fontId="33" fillId="32" borderId="0" xfId="0" applyFont="1" applyFill="1" applyBorder="1"/>
    <xf numFmtId="0" fontId="1" fillId="0" borderId="21" xfId="0" applyFont="1" applyBorder="1" applyAlignment="1">
      <alignment horizontal="center"/>
    </xf>
    <xf numFmtId="9" fontId="0" fillId="0" borderId="44" xfId="0" applyNumberFormat="1" applyBorder="1" applyAlignment="1">
      <alignment horizontal="center"/>
    </xf>
    <xf numFmtId="8" fontId="42" fillId="0" borderId="0" xfId="0" applyNumberFormat="1" applyFont="1"/>
    <xf numFmtId="0" fontId="42" fillId="0" borderId="0" xfId="0" applyFont="1" applyBorder="1" applyAlignment="1">
      <alignment horizontal="center"/>
    </xf>
    <xf numFmtId="0" fontId="43" fillId="0" borderId="0" xfId="0" applyFont="1"/>
    <xf numFmtId="0" fontId="31" fillId="2" borderId="0" xfId="0" applyFont="1" applyFill="1" applyAlignment="1">
      <alignment horizontal="center"/>
    </xf>
    <xf numFmtId="0" fontId="0" fillId="0" borderId="0" xfId="0" applyAlignment="1">
      <alignment vertical="center" wrapText="1"/>
    </xf>
    <xf numFmtId="0" fontId="0" fillId="20" borderId="0" xfId="0" applyFill="1" applyAlignment="1">
      <alignment vertical="center" wrapText="1"/>
    </xf>
    <xf numFmtId="0" fontId="1" fillId="33" borderId="1" xfId="0" applyFont="1" applyFill="1" applyBorder="1" applyAlignment="1">
      <alignment horizontal="right" vertical="center" wrapText="1"/>
    </xf>
    <xf numFmtId="0" fontId="1" fillId="33" borderId="1" xfId="0" applyFont="1" applyFill="1" applyBorder="1" applyAlignment="1">
      <alignment vertical="center" wrapText="1"/>
    </xf>
    <xf numFmtId="0" fontId="1" fillId="31" borderId="23" xfId="0" applyFont="1" applyFill="1" applyBorder="1" applyAlignment="1">
      <alignment vertical="center" wrapText="1"/>
    </xf>
    <xf numFmtId="0" fontId="1" fillId="33" borderId="8" xfId="0" applyFont="1" applyFill="1" applyBorder="1" applyAlignment="1">
      <alignment vertical="center" wrapText="1"/>
    </xf>
    <xf numFmtId="0" fontId="1" fillId="33" borderId="23" xfId="0" applyFont="1" applyFill="1" applyBorder="1" applyAlignment="1">
      <alignment vertical="center" wrapText="1"/>
    </xf>
    <xf numFmtId="0" fontId="24" fillId="31" borderId="23" xfId="0" applyFont="1" applyFill="1" applyBorder="1" applyAlignment="1">
      <alignment vertical="center" wrapText="1"/>
    </xf>
    <xf numFmtId="0" fontId="31" fillId="31" borderId="23" xfId="0" applyFont="1" applyFill="1" applyBorder="1" applyAlignment="1">
      <alignment vertical="center" wrapText="1"/>
    </xf>
    <xf numFmtId="0" fontId="1" fillId="33" borderId="23" xfId="0" applyFont="1" applyFill="1" applyBorder="1" applyAlignment="1">
      <alignment vertical="top" wrapText="1"/>
    </xf>
    <xf numFmtId="0" fontId="0" fillId="0" borderId="27" xfId="0" applyBorder="1" applyAlignment="1">
      <alignment vertical="center" wrapText="1"/>
    </xf>
    <xf numFmtId="0" fontId="1" fillId="0" borderId="2" xfId="0" applyFont="1" applyBorder="1" applyAlignment="1">
      <alignment vertical="center" wrapText="1"/>
    </xf>
    <xf numFmtId="0" fontId="1" fillId="20" borderId="55" xfId="0" applyFont="1" applyFill="1" applyBorder="1" applyAlignment="1">
      <alignment vertical="center" wrapText="1"/>
    </xf>
    <xf numFmtId="164" fontId="1" fillId="33" borderId="1" xfId="0" applyNumberFormat="1" applyFont="1" applyFill="1" applyBorder="1" applyAlignment="1">
      <alignment vertical="center" wrapText="1"/>
    </xf>
    <xf numFmtId="164" fontId="1" fillId="33" borderId="1" xfId="0" applyNumberFormat="1" applyFont="1" applyFill="1" applyBorder="1"/>
    <xf numFmtId="164" fontId="1" fillId="31" borderId="1" xfId="0" applyNumberFormat="1" applyFont="1" applyFill="1" applyBorder="1"/>
    <xf numFmtId="0" fontId="1" fillId="31" borderId="1" xfId="0" applyFont="1" applyFill="1" applyBorder="1"/>
    <xf numFmtId="164" fontId="1" fillId="33" borderId="3" xfId="0" applyNumberFormat="1" applyFont="1" applyFill="1" applyBorder="1"/>
    <xf numFmtId="164" fontId="24" fillId="31" borderId="1" xfId="0" applyNumberFormat="1" applyFont="1" applyFill="1" applyBorder="1"/>
    <xf numFmtId="168" fontId="1" fillId="33" borderId="1" xfId="8" applyNumberFormat="1" applyFont="1" applyFill="1" applyBorder="1"/>
    <xf numFmtId="0" fontId="1" fillId="0" borderId="0" xfId="0" applyFont="1" applyAlignment="1">
      <alignment vertical="center" wrapText="1"/>
    </xf>
    <xf numFmtId="0" fontId="9" fillId="20" borderId="0" xfId="0" applyFont="1" applyFill="1" applyAlignment="1">
      <alignment vertical="center" wrapText="1"/>
    </xf>
    <xf numFmtId="164" fontId="0" fillId="33" borderId="1" xfId="0" applyNumberFormat="1" applyFill="1" applyBorder="1" applyAlignment="1">
      <alignment vertical="center" wrapText="1"/>
    </xf>
    <xf numFmtId="0" fontId="0" fillId="33" borderId="1" xfId="0" applyFill="1" applyBorder="1"/>
    <xf numFmtId="164" fontId="0" fillId="31" borderId="9" xfId="0" applyNumberFormat="1" applyFill="1" applyBorder="1"/>
    <xf numFmtId="0" fontId="0" fillId="31" borderId="9" xfId="0" applyFill="1" applyBorder="1"/>
    <xf numFmtId="164" fontId="0" fillId="33" borderId="56" xfId="0" applyNumberFormat="1" applyFill="1" applyBorder="1"/>
    <xf numFmtId="0" fontId="0" fillId="33" borderId="9" xfId="0" applyFill="1" applyBorder="1"/>
    <xf numFmtId="164" fontId="31" fillId="31" borderId="9" xfId="0" applyNumberFormat="1" applyFont="1" applyFill="1" applyBorder="1"/>
    <xf numFmtId="0" fontId="31" fillId="31" borderId="9" xfId="0" applyFont="1" applyFill="1" applyBorder="1"/>
    <xf numFmtId="168" fontId="0" fillId="33" borderId="9" xfId="8" applyNumberFormat="1" applyFont="1" applyFill="1" applyBorder="1"/>
    <xf numFmtId="164" fontId="0" fillId="31" borderId="1" xfId="0" applyNumberFormat="1" applyFill="1" applyBorder="1"/>
    <xf numFmtId="0" fontId="0" fillId="31" borderId="1" xfId="0" applyFill="1" applyBorder="1"/>
    <xf numFmtId="164" fontId="0" fillId="33" borderId="3" xfId="0" applyNumberFormat="1" applyFill="1" applyBorder="1"/>
    <xf numFmtId="164" fontId="31" fillId="31" borderId="1" xfId="0" applyNumberFormat="1" applyFont="1" applyFill="1" applyBorder="1"/>
    <xf numFmtId="0" fontId="31" fillId="31" borderId="1" xfId="0" applyFont="1" applyFill="1" applyBorder="1"/>
    <xf numFmtId="168" fontId="0" fillId="33" borderId="1" xfId="8" applyNumberFormat="1" applyFont="1" applyFill="1" applyBorder="1"/>
    <xf numFmtId="0" fontId="1" fillId="0" borderId="1" xfId="0" applyFont="1" applyBorder="1" applyAlignment="1">
      <alignment vertical="center" wrapText="1"/>
    </xf>
    <xf numFmtId="0" fontId="0" fillId="33" borderId="1" xfId="0" applyFill="1" applyBorder="1" applyAlignment="1">
      <alignment vertical="center" wrapText="1"/>
    </xf>
    <xf numFmtId="0" fontId="0" fillId="33" borderId="3" xfId="0" applyFill="1" applyBorder="1"/>
    <xf numFmtId="0" fontId="0" fillId="0" borderId="1" xfId="0" applyBorder="1" applyAlignment="1">
      <alignment vertical="center" wrapText="1"/>
    </xf>
    <xf numFmtId="168" fontId="0" fillId="31" borderId="1" xfId="8" applyNumberFormat="1" applyFont="1" applyFill="1" applyBorder="1"/>
    <xf numFmtId="165" fontId="31" fillId="31" borderId="1" xfId="0" applyNumberFormat="1" applyFont="1" applyFill="1" applyBorder="1"/>
    <xf numFmtId="171" fontId="0" fillId="33" borderId="1" xfId="0" applyNumberFormat="1" applyFill="1" applyBorder="1" applyAlignment="1">
      <alignment horizontal="right" vertical="center" wrapText="1"/>
    </xf>
    <xf numFmtId="171" fontId="0" fillId="31" borderId="1" xfId="0" applyNumberFormat="1" applyFill="1" applyBorder="1"/>
    <xf numFmtId="171" fontId="0" fillId="33" borderId="1" xfId="0" applyNumberFormat="1" applyFill="1" applyBorder="1" applyAlignment="1">
      <alignment vertical="center" wrapText="1"/>
    </xf>
    <xf numFmtId="171" fontId="31" fillId="31" borderId="1" xfId="0" applyNumberFormat="1" applyFont="1" applyFill="1" applyBorder="1"/>
    <xf numFmtId="0" fontId="0" fillId="31" borderId="23" xfId="0" applyFill="1" applyBorder="1"/>
    <xf numFmtId="164" fontId="0" fillId="33" borderId="8" xfId="0" applyNumberFormat="1" applyFill="1" applyBorder="1"/>
    <xf numFmtId="0" fontId="0" fillId="33" borderId="23" xfId="0" applyFill="1" applyBorder="1"/>
    <xf numFmtId="171" fontId="31" fillId="31" borderId="23" xfId="0" applyNumberFormat="1" applyFont="1" applyFill="1" applyBorder="1"/>
    <xf numFmtId="0" fontId="31" fillId="31" borderId="23" xfId="0" applyFont="1" applyFill="1" applyBorder="1"/>
    <xf numFmtId="168" fontId="0" fillId="33" borderId="23" xfId="8" applyNumberFormat="1" applyFont="1" applyFill="1" applyBorder="1"/>
    <xf numFmtId="0" fontId="1" fillId="0" borderId="55" xfId="0" applyFont="1" applyBorder="1" applyAlignment="1">
      <alignment vertical="center" wrapText="1"/>
    </xf>
    <xf numFmtId="0" fontId="9" fillId="0" borderId="0" xfId="0" applyFont="1" applyAlignment="1">
      <alignment vertical="center" wrapText="1"/>
    </xf>
    <xf numFmtId="0" fontId="0" fillId="33" borderId="1" xfId="0" applyFill="1" applyBorder="1" applyAlignment="1">
      <alignment horizontal="right" vertical="center" wrapText="1"/>
    </xf>
    <xf numFmtId="0" fontId="1" fillId="33" borderId="23" xfId="0" applyFont="1" applyFill="1" applyBorder="1" applyAlignment="1">
      <alignment horizontal="right" vertical="center" wrapText="1"/>
    </xf>
    <xf numFmtId="0" fontId="1" fillId="0" borderId="27" xfId="0" applyFont="1" applyBorder="1" applyAlignment="1">
      <alignment vertical="center" wrapText="1"/>
    </xf>
    <xf numFmtId="164" fontId="1" fillId="0" borderId="0" xfId="0" applyNumberFormat="1" applyFont="1"/>
    <xf numFmtId="164" fontId="1" fillId="0" borderId="1" xfId="0" applyNumberFormat="1" applyFont="1" applyBorder="1"/>
    <xf numFmtId="0" fontId="9" fillId="0" borderId="0" xfId="0" applyFont="1"/>
    <xf numFmtId="0" fontId="0" fillId="0" borderId="23" xfId="0" applyBorder="1"/>
    <xf numFmtId="164" fontId="0" fillId="0" borderId="23" xfId="0" applyNumberFormat="1" applyBorder="1"/>
    <xf numFmtId="0" fontId="44" fillId="0" borderId="1" xfId="0" applyFont="1" applyBorder="1"/>
    <xf numFmtId="0" fontId="44" fillId="0" borderId="1" xfId="0" applyFont="1" applyBorder="1" applyAlignment="1">
      <alignment vertical="top" wrapText="1"/>
    </xf>
    <xf numFmtId="3" fontId="0" fillId="0" borderId="0" xfId="0" applyNumberFormat="1" applyBorder="1"/>
    <xf numFmtId="3" fontId="0" fillId="0" borderId="0" xfId="0" applyNumberFormat="1" applyBorder="1" applyAlignment="1">
      <alignment horizontal="center"/>
    </xf>
    <xf numFmtId="0" fontId="43" fillId="0" borderId="0" xfId="0" applyFont="1" applyFill="1" applyBorder="1"/>
    <xf numFmtId="0" fontId="43" fillId="0" borderId="0" xfId="0" applyFont="1" applyBorder="1"/>
    <xf numFmtId="0" fontId="0" fillId="0" borderId="0" xfId="0" quotePrefix="1" applyFill="1" applyBorder="1"/>
    <xf numFmtId="0" fontId="0" fillId="0" borderId="42" xfId="0" applyFill="1" applyBorder="1" applyAlignment="1">
      <alignment horizontal="left"/>
    </xf>
    <xf numFmtId="164" fontId="0" fillId="0" borderId="0" xfId="0" applyNumberFormat="1" applyFill="1"/>
    <xf numFmtId="9" fontId="0" fillId="2" borderId="0" xfId="0" applyNumberFormat="1" applyFill="1" applyAlignment="1">
      <alignment horizontal="center"/>
    </xf>
    <xf numFmtId="164" fontId="0" fillId="2" borderId="0" xfId="0" applyNumberFormat="1" applyFill="1" applyAlignment="1">
      <alignment horizontal="left"/>
    </xf>
    <xf numFmtId="9" fontId="0" fillId="2" borderId="0" xfId="0" applyNumberFormat="1" applyFill="1" applyAlignment="1">
      <alignment horizontal="left"/>
    </xf>
    <xf numFmtId="0" fontId="0" fillId="0" borderId="0" xfId="0" applyFill="1" applyAlignment="1">
      <alignment horizontal="left"/>
    </xf>
    <xf numFmtId="0" fontId="32" fillId="0" borderId="0" xfId="0" applyFont="1" applyFill="1" applyAlignment="1">
      <alignment horizontal="right"/>
    </xf>
    <xf numFmtId="0" fontId="32" fillId="0" borderId="0" xfId="0" applyFont="1" applyFill="1" applyAlignment="1">
      <alignment horizontal="center"/>
    </xf>
    <xf numFmtId="0" fontId="32" fillId="0" borderId="0" xfId="0" applyFont="1" applyFill="1"/>
    <xf numFmtId="3" fontId="0" fillId="0" borderId="0" xfId="0" applyNumberFormat="1" applyAlignment="1">
      <alignment horizontal="center"/>
    </xf>
    <xf numFmtId="164" fontId="0" fillId="0" borderId="0" xfId="0" applyNumberFormat="1" applyFill="1" applyAlignment="1">
      <alignment horizontal="center"/>
    </xf>
    <xf numFmtId="9" fontId="0" fillId="0" borderId="0" xfId="0" applyNumberFormat="1" applyFill="1" applyAlignment="1">
      <alignment horizontal="center"/>
    </xf>
    <xf numFmtId="168" fontId="0" fillId="2" borderId="39" xfId="8" applyNumberFormat="1" applyFont="1" applyFill="1" applyBorder="1" applyAlignment="1">
      <alignment horizontal="center"/>
    </xf>
    <xf numFmtId="0" fontId="0" fillId="2" borderId="0" xfId="0" applyNumberFormat="1" applyFill="1" applyAlignment="1">
      <alignment horizontal="center"/>
    </xf>
    <xf numFmtId="0" fontId="0" fillId="2" borderId="0" xfId="0" applyNumberFormat="1" applyFill="1"/>
    <xf numFmtId="0" fontId="16" fillId="8" borderId="50" xfId="0" applyFont="1" applyFill="1" applyBorder="1" applyAlignment="1">
      <alignment horizontal="center" vertical="center" wrapText="1"/>
    </xf>
    <xf numFmtId="0" fontId="16" fillId="2" borderId="50" xfId="0" applyFont="1" applyFill="1" applyBorder="1" applyAlignment="1">
      <alignment horizontal="center" vertical="center" wrapText="1"/>
    </xf>
    <xf numFmtId="0" fontId="30" fillId="29" borderId="0" xfId="0" applyFont="1" applyFill="1" applyBorder="1"/>
    <xf numFmtId="0" fontId="1" fillId="0" borderId="38" xfId="0" applyFont="1" applyFill="1" applyBorder="1"/>
    <xf numFmtId="0" fontId="6" fillId="30" borderId="40" xfId="0" applyFont="1" applyFill="1" applyBorder="1" applyAlignment="1"/>
    <xf numFmtId="0" fontId="6" fillId="30" borderId="57" xfId="0" applyFont="1" applyFill="1" applyBorder="1" applyAlignment="1"/>
    <xf numFmtId="0" fontId="6" fillId="30" borderId="41" xfId="0" applyFont="1" applyFill="1" applyBorder="1" applyAlignment="1"/>
    <xf numFmtId="0" fontId="30" fillId="0" borderId="28" xfId="0" applyFont="1" applyBorder="1"/>
    <xf numFmtId="0" fontId="0" fillId="0" borderId="58" xfId="0" applyBorder="1"/>
    <xf numFmtId="0" fontId="0" fillId="0" borderId="7" xfId="0" applyBorder="1"/>
    <xf numFmtId="0" fontId="0" fillId="0" borderId="59" xfId="0" applyBorder="1"/>
    <xf numFmtId="3" fontId="0" fillId="0" borderId="7" xfId="0" applyNumberFormat="1" applyBorder="1" applyAlignment="1">
      <alignment horizontal="center"/>
    </xf>
    <xf numFmtId="0" fontId="0" fillId="31" borderId="21" xfId="0" applyFill="1" applyBorder="1" applyAlignment="1">
      <alignment horizontal="left" vertical="top" wrapText="1"/>
    </xf>
    <xf numFmtId="0" fontId="0" fillId="0" borderId="0" xfId="0" applyAlignment="1">
      <alignment horizontal="center"/>
    </xf>
    <xf numFmtId="0" fontId="0" fillId="0" borderId="0" xfId="0" applyAlignment="1">
      <alignment horizontal="center"/>
    </xf>
    <xf numFmtId="9" fontId="0" fillId="0" borderId="0" xfId="9" applyFont="1" applyAlignment="1">
      <alignment horizontal="center"/>
    </xf>
    <xf numFmtId="0" fontId="0" fillId="0" borderId="0" xfId="0" applyAlignment="1">
      <alignment horizontal="center"/>
    </xf>
    <xf numFmtId="0" fontId="33" fillId="6" borderId="0" xfId="0" applyFont="1" applyFill="1"/>
    <xf numFmtId="9" fontId="0" fillId="0" borderId="0" xfId="0" applyNumberFormat="1" applyAlignment="1">
      <alignment horizontal="center"/>
    </xf>
    <xf numFmtId="0" fontId="7" fillId="2" borderId="0" xfId="0" applyFont="1" applyFill="1" applyAlignment="1">
      <alignment horizontal="center" vertical="center"/>
    </xf>
    <xf numFmtId="49" fontId="7" fillId="2" borderId="0" xfId="0" applyNumberFormat="1" applyFont="1" applyFill="1" applyAlignment="1">
      <alignment horizontal="center" vertical="center"/>
    </xf>
    <xf numFmtId="0" fontId="7" fillId="2" borderId="0" xfId="0" applyFont="1" applyFill="1" applyAlignment="1">
      <alignment vertical="center"/>
    </xf>
    <xf numFmtId="0" fontId="7" fillId="2" borderId="0" xfId="0" applyFont="1" applyFill="1" applyAlignment="1">
      <alignment vertical="center" wrapText="1"/>
    </xf>
    <xf numFmtId="0" fontId="7" fillId="0" borderId="0" xfId="0" applyFont="1" applyAlignment="1">
      <alignment vertical="center" wrapText="1"/>
    </xf>
    <xf numFmtId="1" fontId="0" fillId="0" borderId="38" xfId="9" applyNumberFormat="1" applyFont="1" applyBorder="1" applyAlignment="1">
      <alignment horizontal="center"/>
    </xf>
    <xf numFmtId="0" fontId="0" fillId="0" borderId="0" xfId="0" applyAlignment="1">
      <alignment horizontal="center"/>
    </xf>
    <xf numFmtId="0" fontId="0" fillId="0" borderId="53" xfId="0" applyFill="1" applyBorder="1"/>
    <xf numFmtId="3" fontId="0" fillId="2" borderId="0" xfId="0" applyNumberFormat="1" applyFill="1" applyAlignment="1">
      <alignment horizontal="center"/>
    </xf>
    <xf numFmtId="3" fontId="0" fillId="2" borderId="0" xfId="0" applyNumberFormat="1" applyFill="1" applyAlignment="1">
      <alignment horizontal="right"/>
    </xf>
    <xf numFmtId="3" fontId="0" fillId="31" borderId="0" xfId="0" applyNumberFormat="1" applyFill="1" applyAlignment="1">
      <alignment horizontal="right"/>
    </xf>
    <xf numFmtId="164" fontId="0" fillId="0" borderId="0" xfId="0" applyNumberFormat="1" applyFill="1" applyAlignment="1">
      <alignment horizontal="left"/>
    </xf>
    <xf numFmtId="8" fontId="0" fillId="0" borderId="39" xfId="0" applyNumberFormat="1" applyFill="1" applyBorder="1" applyAlignment="1">
      <alignment horizontal="center"/>
    </xf>
    <xf numFmtId="0" fontId="0" fillId="0" borderId="38" xfId="0" applyFont="1" applyFill="1" applyBorder="1"/>
    <xf numFmtId="0" fontId="1" fillId="0" borderId="33" xfId="0" applyFont="1" applyFill="1" applyBorder="1"/>
    <xf numFmtId="3" fontId="0" fillId="0" borderId="0" xfId="9" applyNumberFormat="1" applyFont="1" applyAlignment="1">
      <alignment horizontal="center"/>
    </xf>
    <xf numFmtId="0" fontId="0" fillId="16" borderId="0" xfId="0" applyFill="1" applyAlignment="1">
      <alignment vertical="top"/>
    </xf>
    <xf numFmtId="0" fontId="35" fillId="0" borderId="0" xfId="0" applyFont="1" applyFill="1"/>
    <xf numFmtId="0" fontId="0" fillId="0" borderId="28" xfId="0" applyFill="1" applyBorder="1" applyAlignment="1">
      <alignment horizontal="left"/>
    </xf>
    <xf numFmtId="0" fontId="0" fillId="0" borderId="0" xfId="0" applyAlignment="1">
      <alignment horizontal="center"/>
    </xf>
    <xf numFmtId="0" fontId="0" fillId="0" borderId="0" xfId="0" applyAlignment="1">
      <alignment horizontal="left"/>
    </xf>
    <xf numFmtId="0" fontId="27" fillId="0" borderId="0" xfId="7" applyAlignment="1">
      <alignment horizontal="left" vertical="top"/>
    </xf>
    <xf numFmtId="0" fontId="0" fillId="0" borderId="39" xfId="0" applyBorder="1" applyAlignment="1">
      <alignment horizontal="left"/>
    </xf>
    <xf numFmtId="9" fontId="0" fillId="0" borderId="39" xfId="0" applyNumberFormat="1" applyBorder="1" applyAlignment="1">
      <alignment horizontal="left"/>
    </xf>
    <xf numFmtId="0" fontId="0" fillId="0" borderId="39" xfId="0" quotePrefix="1" applyBorder="1" applyAlignment="1">
      <alignment horizontal="left"/>
    </xf>
    <xf numFmtId="3" fontId="0" fillId="0" borderId="39" xfId="0" applyNumberFormat="1" applyBorder="1" applyAlignment="1">
      <alignment horizontal="left"/>
    </xf>
    <xf numFmtId="164" fontId="0" fillId="0" borderId="39" xfId="0" applyNumberFormat="1" applyBorder="1" applyAlignment="1">
      <alignment horizontal="left"/>
    </xf>
    <xf numFmtId="164" fontId="0" fillId="0" borderId="39" xfId="0" applyNumberFormat="1" applyFill="1" applyBorder="1" applyAlignment="1">
      <alignment horizontal="left"/>
    </xf>
    <xf numFmtId="9" fontId="0" fillId="0" borderId="39" xfId="0" applyNumberFormat="1" applyFill="1" applyBorder="1" applyAlignment="1">
      <alignment horizontal="left"/>
    </xf>
    <xf numFmtId="0" fontId="0" fillId="0" borderId="39" xfId="0" applyFill="1" applyBorder="1" applyAlignment="1">
      <alignment horizontal="left"/>
    </xf>
    <xf numFmtId="3" fontId="0" fillId="0" borderId="39" xfId="0" applyNumberFormat="1" applyFill="1" applyBorder="1" applyAlignment="1">
      <alignment horizontal="left"/>
    </xf>
    <xf numFmtId="169" fontId="0" fillId="0" borderId="39" xfId="10" applyNumberFormat="1" applyFont="1" applyFill="1" applyBorder="1" applyAlignment="1">
      <alignment horizontal="left"/>
    </xf>
    <xf numFmtId="0" fontId="0" fillId="0" borderId="28" xfId="0" applyBorder="1" applyAlignment="1">
      <alignment horizontal="left"/>
    </xf>
    <xf numFmtId="0" fontId="0" fillId="26" borderId="21" xfId="0" applyFill="1" applyBorder="1" applyAlignment="1">
      <alignment horizontal="left" vertical="top" wrapText="1"/>
    </xf>
    <xf numFmtId="0" fontId="0" fillId="34" borderId="43" xfId="0" applyFill="1" applyBorder="1" applyAlignment="1">
      <alignment horizontal="left"/>
    </xf>
    <xf numFmtId="0" fontId="0" fillId="34" borderId="42" xfId="0" applyFill="1" applyBorder="1" applyAlignment="1">
      <alignment horizontal="left"/>
    </xf>
    <xf numFmtId="0" fontId="0" fillId="34" borderId="29" xfId="0" applyFill="1" applyBorder="1" applyAlignment="1">
      <alignment horizontal="left"/>
    </xf>
    <xf numFmtId="0" fontId="0" fillId="0" borderId="38" xfId="0" applyFill="1" applyBorder="1" applyAlignment="1">
      <alignment horizontal="center"/>
    </xf>
    <xf numFmtId="0" fontId="45" fillId="0" borderId="0" xfId="7" applyFont="1" applyAlignment="1">
      <alignment vertical="top"/>
    </xf>
    <xf numFmtId="0" fontId="33" fillId="0" borderId="53" xfId="0" applyFont="1" applyFill="1" applyBorder="1"/>
    <xf numFmtId="0" fontId="33" fillId="0" borderId="0" xfId="0" applyFont="1" applyAlignment="1">
      <alignment horizontal="center"/>
    </xf>
    <xf numFmtId="0" fontId="33" fillId="0" borderId="0" xfId="0" applyFont="1" applyAlignment="1">
      <alignment horizontal="left"/>
    </xf>
    <xf numFmtId="0" fontId="33" fillId="0" borderId="38" xfId="0" quotePrefix="1" applyFont="1" applyFill="1" applyBorder="1"/>
    <xf numFmtId="0" fontId="33" fillId="0" borderId="38" xfId="0" applyFont="1" applyFill="1" applyBorder="1"/>
    <xf numFmtId="0" fontId="0" fillId="0" borderId="28" xfId="0" applyFill="1" applyBorder="1" applyAlignment="1">
      <alignment horizontal="left"/>
    </xf>
    <xf numFmtId="0" fontId="0" fillId="0" borderId="0" xfId="0" applyAlignment="1">
      <alignment horizontal="center"/>
    </xf>
    <xf numFmtId="1" fontId="0" fillId="0" borderId="39" xfId="0" applyNumberFormat="1" applyBorder="1" applyAlignment="1">
      <alignment horizontal="left"/>
    </xf>
    <xf numFmtId="0" fontId="30" fillId="26" borderId="0" xfId="0" applyFont="1" applyFill="1" applyAlignment="1">
      <alignment horizontal="left"/>
    </xf>
    <xf numFmtId="0" fontId="0" fillId="0" borderId="33" xfId="0" applyBorder="1" applyAlignment="1">
      <alignment horizontal="left"/>
    </xf>
    <xf numFmtId="0" fontId="27" fillId="0" borderId="0" xfId="7" applyFill="1" applyAlignment="1">
      <alignment horizontal="left" vertical="top"/>
    </xf>
    <xf numFmtId="0" fontId="0" fillId="0" borderId="50" xfId="0" applyBorder="1"/>
    <xf numFmtId="0" fontId="0" fillId="0" borderId="22" xfId="0" applyBorder="1"/>
    <xf numFmtId="0" fontId="0" fillId="0" borderId="0" xfId="0" applyAlignment="1">
      <alignment horizontal="center"/>
    </xf>
    <xf numFmtId="0" fontId="14" fillId="34" borderId="0" xfId="0" applyFont="1" applyFill="1"/>
    <xf numFmtId="172" fontId="0" fillId="0" borderId="39" xfId="9" applyNumberFormat="1" applyFont="1" applyFill="1" applyBorder="1" applyAlignment="1">
      <alignment horizontal="center"/>
    </xf>
    <xf numFmtId="172" fontId="0" fillId="0" borderId="0" xfId="0" applyNumberFormat="1" applyAlignment="1">
      <alignment horizontal="center"/>
    </xf>
    <xf numFmtId="3" fontId="30" fillId="0" borderId="0" xfId="0" applyNumberFormat="1" applyFont="1" applyAlignment="1">
      <alignment horizontal="center"/>
    </xf>
    <xf numFmtId="3" fontId="0" fillId="0" borderId="0" xfId="0" applyNumberFormat="1" applyFill="1" applyAlignment="1">
      <alignment horizontal="center"/>
    </xf>
    <xf numFmtId="0" fontId="0" fillId="0" borderId="28" xfId="0" applyFill="1" applyBorder="1"/>
    <xf numFmtId="0" fontId="1" fillId="0" borderId="1" xfId="0" applyFont="1" applyBorder="1" applyAlignment="1">
      <alignment horizontal="center"/>
    </xf>
    <xf numFmtId="0" fontId="1" fillId="0" borderId="21" xfId="0" applyFont="1" applyBorder="1" applyAlignment="1">
      <alignment horizontal="center" vertical="top"/>
    </xf>
    <xf numFmtId="0" fontId="16" fillId="8" borderId="20" xfId="0" applyFont="1" applyFill="1" applyBorder="1" applyAlignment="1">
      <alignment horizontal="center" vertical="center" wrapText="1"/>
    </xf>
    <xf numFmtId="0" fontId="16" fillId="8" borderId="19" xfId="0" applyFont="1" applyFill="1" applyBorder="1" applyAlignment="1">
      <alignment horizontal="center" vertical="center" wrapText="1"/>
    </xf>
    <xf numFmtId="0" fontId="16" fillId="0" borderId="18" xfId="0" applyFont="1" applyBorder="1" applyAlignment="1">
      <alignment horizontal="center" vertical="center" wrapText="1"/>
    </xf>
    <xf numFmtId="0" fontId="16" fillId="0" borderId="16" xfId="0" applyFont="1" applyBorder="1" applyAlignment="1">
      <alignment horizontal="center" vertical="center" wrapText="1"/>
    </xf>
    <xf numFmtId="0" fontId="16" fillId="8" borderId="15" xfId="0" applyFont="1" applyFill="1" applyBorder="1" applyAlignment="1">
      <alignment horizontal="center" vertical="center" wrapText="1"/>
    </xf>
    <xf numFmtId="0" fontId="0" fillId="0" borderId="0" xfId="0" applyAlignment="1">
      <alignment horizontal="left" vertical="top" wrapText="1"/>
    </xf>
    <xf numFmtId="0" fontId="1" fillId="0" borderId="32" xfId="0" applyFont="1" applyBorder="1" applyAlignment="1">
      <alignment horizontal="left" vertical="top" wrapText="1"/>
    </xf>
    <xf numFmtId="0" fontId="1" fillId="0" borderId="21" xfId="0" applyFont="1" applyBorder="1" applyAlignment="1">
      <alignment horizontal="left" vertical="top" wrapText="1"/>
    </xf>
    <xf numFmtId="0" fontId="1" fillId="0" borderId="31" xfId="0" applyFont="1" applyBorder="1" applyAlignment="1">
      <alignment horizontal="left" vertical="top" wrapText="1"/>
    </xf>
    <xf numFmtId="0" fontId="0" fillId="31" borderId="21" xfId="0" applyFill="1" applyBorder="1" applyAlignment="1">
      <alignment horizontal="left" vertical="top" wrapText="1"/>
    </xf>
    <xf numFmtId="0" fontId="0" fillId="26" borderId="21" xfId="0" applyFill="1" applyBorder="1" applyAlignment="1">
      <alignment horizontal="left" vertical="top" wrapText="1"/>
    </xf>
    <xf numFmtId="0" fontId="0" fillId="26" borderId="17" xfId="0" applyFill="1" applyBorder="1" applyAlignment="1">
      <alignment horizontal="left" vertical="top" wrapText="1"/>
    </xf>
    <xf numFmtId="0" fontId="0" fillId="27" borderId="30" xfId="0" applyFill="1" applyBorder="1" applyAlignment="1">
      <alignment horizontal="left" vertical="top" wrapText="1"/>
    </xf>
    <xf numFmtId="0" fontId="0" fillId="27" borderId="21" xfId="0" applyFill="1" applyBorder="1" applyAlignment="1">
      <alignment horizontal="left" vertical="top" wrapText="1"/>
    </xf>
    <xf numFmtId="0" fontId="0" fillId="27" borderId="31" xfId="0" applyFill="1" applyBorder="1" applyAlignment="1">
      <alignment horizontal="left" vertical="top" wrapText="1"/>
    </xf>
    <xf numFmtId="0" fontId="0" fillId="28" borderId="32" xfId="0" applyFill="1" applyBorder="1" applyAlignment="1">
      <alignment horizontal="left" vertical="top" wrapText="1"/>
    </xf>
    <xf numFmtId="0" fontId="0" fillId="28" borderId="31" xfId="0" applyFill="1" applyBorder="1" applyAlignment="1">
      <alignment horizontal="left" vertical="top" wrapText="1"/>
    </xf>
    <xf numFmtId="0" fontId="0" fillId="29" borderId="32" xfId="0" applyFill="1" applyBorder="1" applyAlignment="1">
      <alignment horizontal="left" vertical="top" wrapText="1"/>
    </xf>
    <xf numFmtId="0" fontId="0" fillId="29" borderId="21" xfId="0" applyFill="1" applyBorder="1" applyAlignment="1">
      <alignment horizontal="left" vertical="top" wrapText="1"/>
    </xf>
    <xf numFmtId="0" fontId="0" fillId="29" borderId="31" xfId="0" applyFill="1" applyBorder="1" applyAlignment="1">
      <alignment horizontal="left" vertical="top" wrapText="1"/>
    </xf>
    <xf numFmtId="0" fontId="0" fillId="0" borderId="0" xfId="0" applyFill="1" applyBorder="1" applyAlignment="1">
      <alignment horizontal="left"/>
    </xf>
    <xf numFmtId="0" fontId="0" fillId="0" borderId="28" xfId="0" applyFill="1" applyBorder="1" applyAlignment="1">
      <alignment horizontal="left"/>
    </xf>
    <xf numFmtId="0" fontId="0" fillId="0" borderId="0" xfId="0" applyAlignment="1">
      <alignment horizontal="center" vertical="top" wrapText="1"/>
    </xf>
    <xf numFmtId="0" fontId="1" fillId="16" borderId="7" xfId="0" applyFont="1" applyFill="1" applyBorder="1" applyAlignment="1">
      <alignment horizontal="center" vertical="center" wrapText="1"/>
    </xf>
    <xf numFmtId="0" fontId="1" fillId="21" borderId="25" xfId="0" applyFont="1" applyFill="1" applyBorder="1" applyAlignment="1">
      <alignment horizontal="center" vertical="center"/>
    </xf>
    <xf numFmtId="0" fontId="0" fillId="0" borderId="26" xfId="0" applyBorder="1" applyAlignment="1">
      <alignment horizontal="center" vertical="center"/>
    </xf>
    <xf numFmtId="0" fontId="1" fillId="22" borderId="26" xfId="0" applyFont="1" applyFill="1" applyBorder="1" applyAlignment="1">
      <alignment horizontal="center" vertical="center" wrapText="1"/>
    </xf>
    <xf numFmtId="0" fontId="1" fillId="0" borderId="1" xfId="0" applyFont="1" applyBorder="1" applyAlignment="1">
      <alignment horizontal="center" vertical="top" wrapText="1"/>
    </xf>
    <xf numFmtId="0" fontId="8" fillId="0" borderId="1" xfId="0" applyFont="1" applyBorder="1" applyAlignment="1">
      <alignment horizontal="center" vertical="top" wrapText="1"/>
    </xf>
    <xf numFmtId="0" fontId="0" fillId="0" borderId="1" xfId="0" applyBorder="1" applyAlignment="1">
      <alignment horizontal="center" vertical="top" wrapText="1"/>
    </xf>
    <xf numFmtId="0" fontId="0" fillId="0" borderId="7" xfId="0" applyBorder="1" applyAlignment="1">
      <alignment horizontal="center" vertical="top"/>
    </xf>
    <xf numFmtId="0" fontId="0" fillId="0" borderId="0" xfId="0" applyAlignment="1">
      <alignment horizontal="center" vertical="top"/>
    </xf>
    <xf numFmtId="0" fontId="25" fillId="0" borderId="7" xfId="0" applyFont="1" applyBorder="1" applyAlignment="1">
      <alignment horizontal="center" vertical="top"/>
    </xf>
    <xf numFmtId="0" fontId="25" fillId="0" borderId="0" xfId="0" applyFont="1" applyAlignment="1">
      <alignment horizontal="center" vertical="top"/>
    </xf>
    <xf numFmtId="0" fontId="26" fillId="0" borderId="0" xfId="0" applyFont="1" applyAlignment="1">
      <alignment horizontal="center" vertical="top" wrapText="1"/>
    </xf>
    <xf numFmtId="0" fontId="26" fillId="0" borderId="0" xfId="0" applyFont="1" applyAlignment="1">
      <alignment horizontal="center" vertical="top"/>
    </xf>
    <xf numFmtId="0" fontId="26" fillId="0" borderId="1" xfId="0" applyFont="1" applyBorder="1" applyAlignment="1">
      <alignment horizontal="center" vertical="top" wrapText="1"/>
    </xf>
    <xf numFmtId="0" fontId="25" fillId="0" borderId="1" xfId="0" applyFont="1" applyBorder="1" applyAlignment="1">
      <alignment horizontal="center" vertical="top"/>
    </xf>
    <xf numFmtId="0" fontId="25" fillId="0" borderId="1" xfId="0" applyFont="1" applyBorder="1" applyAlignment="1">
      <alignment horizontal="center" vertical="top" wrapText="1"/>
    </xf>
    <xf numFmtId="0" fontId="0" fillId="0" borderId="0" xfId="0" applyAlignment="1">
      <alignment horizontal="center"/>
    </xf>
    <xf numFmtId="0" fontId="26" fillId="0" borderId="7" xfId="0" applyFont="1" applyBorder="1" applyAlignment="1">
      <alignment horizontal="left" vertical="top"/>
    </xf>
    <xf numFmtId="0" fontId="26" fillId="0" borderId="0" xfId="0" applyFont="1" applyAlignment="1">
      <alignment horizontal="left" vertical="top"/>
    </xf>
    <xf numFmtId="0" fontId="0" fillId="0" borderId="0" xfId="0" applyAlignment="1">
      <alignment horizontal="center" wrapText="1"/>
    </xf>
    <xf numFmtId="0" fontId="26" fillId="19" borderId="1" xfId="0" applyFont="1" applyFill="1" applyBorder="1" applyAlignment="1">
      <alignment horizontal="left" vertical="top" wrapText="1" indent="1"/>
    </xf>
    <xf numFmtId="0" fontId="26" fillId="19" borderId="1" xfId="0" applyFont="1" applyFill="1" applyBorder="1" applyAlignment="1">
      <alignment horizontal="center" vertical="top" wrapText="1"/>
    </xf>
    <xf numFmtId="0" fontId="25" fillId="19" borderId="1" xfId="0" applyFont="1" applyFill="1" applyBorder="1" applyAlignment="1">
      <alignment horizontal="center" vertical="top" wrapText="1"/>
    </xf>
    <xf numFmtId="0" fontId="1" fillId="0" borderId="0" xfId="0" applyFont="1" applyAlignment="1">
      <alignment horizontal="center"/>
    </xf>
    <xf numFmtId="0" fontId="0" fillId="0" borderId="1" xfId="0" applyBorder="1" applyAlignment="1">
      <alignment horizontal="center"/>
    </xf>
    <xf numFmtId="0" fontId="26" fillId="0" borderId="23" xfId="0" applyFont="1" applyBorder="1" applyAlignment="1">
      <alignment horizontal="center" vertical="top" wrapText="1"/>
    </xf>
    <xf numFmtId="0" fontId="26" fillId="0" borderId="27" xfId="0" applyFont="1" applyBorder="1" applyAlignment="1">
      <alignment horizontal="center" vertical="top" wrapText="1"/>
    </xf>
    <xf numFmtId="0" fontId="26" fillId="0" borderId="9" xfId="0" applyFont="1" applyBorder="1" applyAlignment="1">
      <alignment horizontal="center" vertical="top" wrapText="1"/>
    </xf>
  </cellXfs>
  <cellStyles count="11">
    <cellStyle name="Bad" xfId="1" builtinId="27"/>
    <cellStyle name="Calculation" xfId="2" builtinId="22"/>
    <cellStyle name="Check Cell" xfId="3" builtinId="23"/>
    <cellStyle name="Comma" xfId="10" builtinId="3"/>
    <cellStyle name="Currency" xfId="8" builtinId="4"/>
    <cellStyle name="Hyperlink" xfId="6" builtinId="8"/>
    <cellStyle name="Input" xfId="5" builtinId="20"/>
    <cellStyle name="Neutral" xfId="4" builtinId="28"/>
    <cellStyle name="Normal" xfId="0" builtinId="0"/>
    <cellStyle name="Normal 2" xfId="7" xr:uid="{00000000-0005-0000-0000-000008000000}"/>
    <cellStyle name="Percent" xfId="9" builtinId="5"/>
  </cellStyles>
  <dxfs count="10">
    <dxf>
      <font>
        <color theme="0"/>
      </font>
      <fill>
        <patternFill>
          <bgColor rgb="FF00B050"/>
        </patternFill>
      </fill>
    </dxf>
    <dxf>
      <font>
        <color theme="0"/>
      </font>
      <fill>
        <patternFill>
          <bgColor rgb="FFFF0000"/>
        </patternFill>
      </fill>
    </dxf>
    <dxf>
      <fill>
        <patternFill patternType="none">
          <bgColor auto="1"/>
        </patternFill>
      </fill>
    </dxf>
    <dxf>
      <font>
        <color theme="0"/>
      </font>
      <fill>
        <patternFill>
          <bgColor rgb="FF00B050"/>
        </patternFill>
      </fill>
    </dxf>
    <dxf>
      <font>
        <color theme="0"/>
      </font>
      <fill>
        <patternFill>
          <bgColor rgb="FFFF0000"/>
        </patternFill>
      </fill>
    </dxf>
    <dxf>
      <fill>
        <patternFill patternType="none">
          <bgColor auto="1"/>
        </patternFill>
      </fill>
    </dxf>
    <dxf>
      <font>
        <b/>
        <i val="0"/>
        <color theme="0"/>
      </font>
      <fill>
        <patternFill>
          <bgColor rgb="FF00B050"/>
        </patternFill>
      </fill>
    </dxf>
    <dxf>
      <font>
        <b/>
        <i val="0"/>
        <color auto="1"/>
      </font>
      <fill>
        <patternFill>
          <bgColor rgb="FFFFC000"/>
        </patternFill>
      </fill>
    </dxf>
    <dxf>
      <font>
        <b/>
        <i val="0"/>
        <color theme="0"/>
      </font>
      <fill>
        <patternFill>
          <bgColor rgb="FFFF0000"/>
        </patternFill>
      </fill>
    </dxf>
    <dxf>
      <fill>
        <patternFill>
          <bgColor theme="0" tint="-0.14996795556505021"/>
        </patternFill>
      </fill>
    </dxf>
  </dxfs>
  <tableStyles count="0" defaultTableStyle="TableStyleMedium2" defaultPivotStyle="PivotStyleLight16"/>
  <colors>
    <mruColors>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2" Type="http://schemas.openxmlformats.org/officeDocument/2006/relationships/image" Target="cid:image001.jpg@01D454E6.CE5A1B50" TargetMode="External"/><Relationship Id="rId1" Type="http://schemas.openxmlformats.org/officeDocument/2006/relationships/image" Target="../media/image3.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66675</xdr:colOff>
          <xdr:row>15</xdr:row>
          <xdr:rowOff>171450</xdr:rowOff>
        </xdr:from>
        <xdr:to>
          <xdr:col>7</xdr:col>
          <xdr:colOff>552450</xdr:colOff>
          <xdr:row>21</xdr:row>
          <xdr:rowOff>38100</xdr:rowOff>
        </xdr:to>
        <xdr:sp macro="" textlink="">
          <xdr:nvSpPr>
            <xdr:cNvPr id="19479" name="addTrade" hidden="1">
              <a:extLst>
                <a:ext uri="{63B3BB69-23CF-44E3-9099-C40C66FF867C}">
                  <a14:compatExt spid="_x0000_s19479"/>
                </a:ext>
                <a:ext uri="{FF2B5EF4-FFF2-40B4-BE49-F238E27FC236}">
                  <a16:creationId xmlns:a16="http://schemas.microsoft.com/office/drawing/2014/main" id="{00000000-0008-0000-0400-000017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2066925</xdr:colOff>
          <xdr:row>2</xdr:row>
          <xdr:rowOff>152400</xdr:rowOff>
        </xdr:from>
        <xdr:to>
          <xdr:col>5</xdr:col>
          <xdr:colOff>428625</xdr:colOff>
          <xdr:row>3</xdr:row>
          <xdr:rowOff>104775</xdr:rowOff>
        </xdr:to>
        <xdr:sp macro="" textlink="">
          <xdr:nvSpPr>
            <xdr:cNvPr id="19531" name="CommandButton1" hidden="1">
              <a:extLst>
                <a:ext uri="{63B3BB69-23CF-44E3-9099-C40C66FF867C}">
                  <a14:compatExt spid="_x0000_s19531"/>
                </a:ext>
                <a:ext uri="{FF2B5EF4-FFF2-40B4-BE49-F238E27FC236}">
                  <a16:creationId xmlns:a16="http://schemas.microsoft.com/office/drawing/2014/main" id="{00000000-0008-0000-0400-00004B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xdr:col>
      <xdr:colOff>0</xdr:colOff>
      <xdr:row>7</xdr:row>
      <xdr:rowOff>0</xdr:rowOff>
    </xdr:from>
    <xdr:to>
      <xdr:col>14</xdr:col>
      <xdr:colOff>457200</xdr:colOff>
      <xdr:row>11</xdr:row>
      <xdr:rowOff>104775</xdr:rowOff>
    </xdr:to>
    <xdr:pic>
      <xdr:nvPicPr>
        <xdr:cNvPr id="6" name="Picture 1" descr="cid:image001.jpg@01D454E6.CE5A1B50">
          <a:extLst>
            <a:ext uri="{FF2B5EF4-FFF2-40B4-BE49-F238E27FC236}">
              <a16:creationId xmlns:a16="http://schemas.microsoft.com/office/drawing/2014/main" id="{00000000-0008-0000-1100-000006000000}"/>
            </a:ext>
          </a:extLst>
        </xdr:cNvPr>
        <xdr:cNvPicPr>
          <a:picLocks noChangeAspect="1" noChangeArrowheads="1"/>
        </xdr:cNvPicPr>
      </xdr:nvPicPr>
      <xdr:blipFill>
        <a:blip xmlns:r="http://schemas.openxmlformats.org/officeDocument/2006/relationships" r:embed="rId1" r:link="rId2">
          <a:extLst>
            <a:ext uri="{28A0092B-C50C-407E-A947-70E740481C1C}">
              <a14:useLocalDpi xmlns:a14="http://schemas.microsoft.com/office/drawing/2010/main" val="0"/>
            </a:ext>
          </a:extLst>
        </a:blip>
        <a:srcRect/>
        <a:stretch>
          <a:fillRect/>
        </a:stretch>
      </xdr:blipFill>
      <xdr:spPr bwMode="auto">
        <a:xfrm>
          <a:off x="12525375" y="2552700"/>
          <a:ext cx="5943600" cy="2247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hyperlink" Target="https://cmigjira.atlassian.net/wiki/spaces/PHOEN/pages/107643423/GWPC+-+Commercial+-+Discounts+and+Surcharges" TargetMode="Externa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13.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D15"/>
  <sheetViews>
    <sheetView workbookViewId="0">
      <selection activeCell="I39" sqref="I39"/>
    </sheetView>
  </sheetViews>
  <sheetFormatPr defaultColWidth="8.85546875" defaultRowHeight="12.75" x14ac:dyDescent="0.2"/>
  <cols>
    <col min="1" max="1" width="8.85546875" style="167"/>
    <col min="2" max="2" width="32" style="164" customWidth="1"/>
    <col min="3" max="3" width="26.7109375" style="164" customWidth="1"/>
    <col min="4" max="4" width="29.28515625" style="164" customWidth="1"/>
    <col min="5" max="16384" width="8.85546875" style="164"/>
  </cols>
  <sheetData>
    <row r="1" spans="1:4" x14ac:dyDescent="0.2">
      <c r="A1" s="166"/>
      <c r="B1" s="165" t="s">
        <v>822</v>
      </c>
      <c r="C1" s="165" t="s">
        <v>823</v>
      </c>
      <c r="D1" s="165" t="s">
        <v>479</v>
      </c>
    </row>
    <row r="2" spans="1:4" x14ac:dyDescent="0.2">
      <c r="A2" s="168">
        <v>1</v>
      </c>
      <c r="B2" s="169" t="s">
        <v>821</v>
      </c>
      <c r="C2" s="169" t="s">
        <v>825</v>
      </c>
      <c r="D2" s="169" t="s">
        <v>826</v>
      </c>
    </row>
    <row r="3" spans="1:4" x14ac:dyDescent="0.2">
      <c r="A3" s="168">
        <v>2</v>
      </c>
      <c r="B3" s="169" t="s">
        <v>824</v>
      </c>
      <c r="C3" s="169" t="s">
        <v>825</v>
      </c>
      <c r="D3" s="169" t="s">
        <v>826</v>
      </c>
    </row>
    <row r="4" spans="1:4" x14ac:dyDescent="0.2">
      <c r="A4" s="168">
        <v>3</v>
      </c>
      <c r="B4" s="169" t="s">
        <v>466</v>
      </c>
      <c r="C4" s="169" t="s">
        <v>825</v>
      </c>
      <c r="D4" s="169" t="s">
        <v>826</v>
      </c>
    </row>
    <row r="5" spans="1:4" x14ac:dyDescent="0.2">
      <c r="A5" s="168">
        <v>4</v>
      </c>
      <c r="B5" s="169" t="s">
        <v>827</v>
      </c>
      <c r="C5" s="169" t="s">
        <v>825</v>
      </c>
      <c r="D5" s="169" t="s">
        <v>826</v>
      </c>
    </row>
    <row r="6" spans="1:4" x14ac:dyDescent="0.2">
      <c r="A6" s="167">
        <v>5</v>
      </c>
      <c r="B6" s="164" t="s">
        <v>828</v>
      </c>
    </row>
    <row r="7" spans="1:4" x14ac:dyDescent="0.2">
      <c r="A7" s="167">
        <v>6</v>
      </c>
      <c r="B7" s="164" t="s">
        <v>829</v>
      </c>
    </row>
    <row r="8" spans="1:4" x14ac:dyDescent="0.2">
      <c r="A8" s="167">
        <v>7</v>
      </c>
      <c r="B8" s="164" t="s">
        <v>830</v>
      </c>
    </row>
    <row r="9" spans="1:4" x14ac:dyDescent="0.2">
      <c r="A9" s="167">
        <v>8</v>
      </c>
      <c r="B9" s="164" t="s">
        <v>831</v>
      </c>
    </row>
    <row r="10" spans="1:4" x14ac:dyDescent="0.2">
      <c r="A10" s="167">
        <v>9</v>
      </c>
      <c r="B10" s="164" t="s">
        <v>832</v>
      </c>
    </row>
    <row r="11" spans="1:4" x14ac:dyDescent="0.2">
      <c r="A11" s="167">
        <v>10</v>
      </c>
      <c r="B11" s="164" t="s">
        <v>833</v>
      </c>
    </row>
    <row r="12" spans="1:4" x14ac:dyDescent="0.2">
      <c r="A12" s="167">
        <v>11</v>
      </c>
      <c r="B12" s="164" t="s">
        <v>834</v>
      </c>
    </row>
    <row r="13" spans="1:4" x14ac:dyDescent="0.2">
      <c r="A13" s="167">
        <v>12</v>
      </c>
      <c r="B13" s="164" t="s">
        <v>835</v>
      </c>
    </row>
    <row r="14" spans="1:4" x14ac:dyDescent="0.2">
      <c r="A14" s="167">
        <v>13</v>
      </c>
      <c r="B14" s="164" t="s">
        <v>836</v>
      </c>
    </row>
    <row r="15" spans="1:4" x14ac:dyDescent="0.2">
      <c r="A15" s="167">
        <v>14</v>
      </c>
      <c r="B15" s="164" t="s">
        <v>837</v>
      </c>
    </row>
  </sheetData>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R84"/>
  <sheetViews>
    <sheetView topLeftCell="N1" workbookViewId="0">
      <selection activeCell="R11" sqref="R11"/>
    </sheetView>
  </sheetViews>
  <sheetFormatPr defaultRowHeight="15" x14ac:dyDescent="0.25"/>
  <cols>
    <col min="1" max="1" width="32.140625" customWidth="1"/>
    <col min="2" max="2" width="72.5703125" bestFit="1" customWidth="1"/>
    <col min="3" max="3" width="83.28515625" customWidth="1"/>
    <col min="4" max="4" width="32.5703125" customWidth="1"/>
    <col min="7" max="7" width="39.28515625" style="3" customWidth="1"/>
    <col min="9" max="10" width="42.42578125" style="3" customWidth="1"/>
    <col min="13" max="13" width="54" customWidth="1"/>
    <col min="16" max="16" width="50.7109375" style="1" bestFit="1" customWidth="1"/>
    <col min="17" max="17" width="31.28515625" style="1" customWidth="1"/>
    <col min="18" max="18" width="39.42578125" customWidth="1"/>
    <col min="19" max="19" width="35.7109375" customWidth="1"/>
    <col min="20" max="20" width="14.28515625" customWidth="1"/>
  </cols>
  <sheetData>
    <row r="1" spans="1:18" ht="15.75" thickBot="1" x14ac:dyDescent="0.3">
      <c r="A1" t="s">
        <v>23</v>
      </c>
      <c r="B1" s="5" t="s">
        <v>91</v>
      </c>
      <c r="C1" s="5" t="s">
        <v>124</v>
      </c>
      <c r="F1" s="499" t="s">
        <v>237</v>
      </c>
      <c r="G1" s="499"/>
      <c r="I1" s="500" t="s">
        <v>241</v>
      </c>
      <c r="J1" s="500"/>
      <c r="M1" s="5" t="s">
        <v>265</v>
      </c>
      <c r="P1" s="80" t="s">
        <v>298</v>
      </c>
      <c r="Q1" s="80" t="s">
        <v>301</v>
      </c>
      <c r="R1" t="s">
        <v>314</v>
      </c>
    </row>
    <row r="2" spans="1:18" ht="120.75" thickBot="1" x14ac:dyDescent="0.3">
      <c r="B2" s="7" t="s">
        <v>103</v>
      </c>
      <c r="C2" s="7" t="s">
        <v>125</v>
      </c>
      <c r="F2" s="50" t="s">
        <v>203</v>
      </c>
      <c r="G2" s="47" t="s">
        <v>238</v>
      </c>
      <c r="I2" s="42" t="s">
        <v>2</v>
      </c>
      <c r="J2" s="43" t="s">
        <v>242</v>
      </c>
      <c r="M2" s="76" t="s">
        <v>250</v>
      </c>
      <c r="P2" s="1" t="s">
        <v>299</v>
      </c>
      <c r="Q2" s="1" t="s">
        <v>302</v>
      </c>
      <c r="R2" t="s">
        <v>315</v>
      </c>
    </row>
    <row r="3" spans="1:18" ht="64.5" customHeight="1" thickBot="1" x14ac:dyDescent="0.3">
      <c r="B3" t="s">
        <v>23</v>
      </c>
      <c r="F3" s="52" t="s">
        <v>204</v>
      </c>
      <c r="G3" s="45" t="s">
        <v>239</v>
      </c>
      <c r="I3" s="44" t="s">
        <v>243</v>
      </c>
      <c r="J3" s="45" t="s">
        <v>244</v>
      </c>
      <c r="M3" s="76" t="s">
        <v>251</v>
      </c>
      <c r="P3" s="1" t="s">
        <v>300</v>
      </c>
      <c r="Q3" s="1" t="s">
        <v>303</v>
      </c>
      <c r="R3" t="s">
        <v>316</v>
      </c>
    </row>
    <row r="4" spans="1:18" ht="64.5" customHeight="1" thickBot="1" x14ac:dyDescent="0.3">
      <c r="B4" s="5" t="s">
        <v>104</v>
      </c>
      <c r="C4" t="s">
        <v>126</v>
      </c>
      <c r="F4" s="50" t="s">
        <v>205</v>
      </c>
      <c r="G4" s="47" t="s">
        <v>240</v>
      </c>
      <c r="I4" s="46" t="s">
        <v>4</v>
      </c>
      <c r="J4" s="47" t="s">
        <v>245</v>
      </c>
      <c r="M4" s="76" t="s">
        <v>252</v>
      </c>
      <c r="P4" s="1" t="s">
        <v>304</v>
      </c>
      <c r="Q4" s="1" t="s">
        <v>307</v>
      </c>
      <c r="R4" t="s">
        <v>23</v>
      </c>
    </row>
    <row r="5" spans="1:18" ht="30" x14ac:dyDescent="0.25">
      <c r="B5" t="s">
        <v>92</v>
      </c>
      <c r="C5" t="s">
        <v>127</v>
      </c>
      <c r="M5" s="76" t="s">
        <v>253</v>
      </c>
      <c r="P5" s="1" t="s">
        <v>305</v>
      </c>
      <c r="Q5" s="1" t="s">
        <v>308</v>
      </c>
    </row>
    <row r="6" spans="1:18" ht="30" x14ac:dyDescent="0.25">
      <c r="B6" t="s">
        <v>105</v>
      </c>
      <c r="C6" t="s">
        <v>106</v>
      </c>
      <c r="M6" s="76" t="s">
        <v>254</v>
      </c>
      <c r="P6" s="1" t="s">
        <v>306</v>
      </c>
      <c r="Q6" s="1" t="s">
        <v>309</v>
      </c>
    </row>
    <row r="7" spans="1:18" x14ac:dyDescent="0.25">
      <c r="B7" t="s">
        <v>106</v>
      </c>
      <c r="C7" t="s">
        <v>107</v>
      </c>
      <c r="M7" s="76" t="s">
        <v>255</v>
      </c>
    </row>
    <row r="8" spans="1:18" x14ac:dyDescent="0.25">
      <c r="B8" t="s">
        <v>107</v>
      </c>
      <c r="C8" t="s">
        <v>128</v>
      </c>
      <c r="M8" s="76" t="s">
        <v>256</v>
      </c>
    </row>
    <row r="9" spans="1:18" ht="63.75" x14ac:dyDescent="0.25">
      <c r="B9" t="s">
        <v>93</v>
      </c>
      <c r="M9" s="76" t="s">
        <v>257</v>
      </c>
    </row>
    <row r="10" spans="1:18" x14ac:dyDescent="0.25">
      <c r="B10" t="s">
        <v>23</v>
      </c>
      <c r="M10" s="76" t="s">
        <v>258</v>
      </c>
    </row>
    <row r="11" spans="1:18" ht="15.75" thickBot="1" x14ac:dyDescent="0.3">
      <c r="C11" t="s">
        <v>23</v>
      </c>
      <c r="M11" s="76" t="s">
        <v>259</v>
      </c>
    </row>
    <row r="12" spans="1:18" ht="15.75" thickBot="1" x14ac:dyDescent="0.3">
      <c r="C12" s="32" t="s">
        <v>180</v>
      </c>
      <c r="D12" s="33" t="s">
        <v>141</v>
      </c>
      <c r="M12" s="76" t="s">
        <v>260</v>
      </c>
    </row>
    <row r="13" spans="1:18" ht="15.75" thickBot="1" x14ac:dyDescent="0.3">
      <c r="C13" s="34" t="s">
        <v>142</v>
      </c>
      <c r="D13" s="35">
        <v>1</v>
      </c>
      <c r="M13" s="76" t="s">
        <v>261</v>
      </c>
    </row>
    <row r="14" spans="1:18" ht="15.75" thickBot="1" x14ac:dyDescent="0.3">
      <c r="C14" s="36" t="s">
        <v>143</v>
      </c>
      <c r="D14" s="37">
        <v>1</v>
      </c>
      <c r="M14" s="76" t="s">
        <v>262</v>
      </c>
    </row>
    <row r="15" spans="1:18" ht="26.25" thickBot="1" x14ac:dyDescent="0.3">
      <c r="C15" s="34" t="s">
        <v>144</v>
      </c>
      <c r="D15" s="35">
        <v>1</v>
      </c>
      <c r="M15" s="76" t="s">
        <v>263</v>
      </c>
    </row>
    <row r="16" spans="1:18" ht="26.25" thickBot="1" x14ac:dyDescent="0.3">
      <c r="C16" s="36" t="s">
        <v>145</v>
      </c>
      <c r="D16" s="37">
        <v>1</v>
      </c>
      <c r="M16" s="76" t="s">
        <v>264</v>
      </c>
    </row>
    <row r="17" spans="3:4" ht="15.75" thickBot="1" x14ac:dyDescent="0.3">
      <c r="C17" s="34" t="s">
        <v>146</v>
      </c>
      <c r="D17" s="35" t="s">
        <v>147</v>
      </c>
    </row>
    <row r="18" spans="3:4" ht="15.75" thickBot="1" x14ac:dyDescent="0.3">
      <c r="C18" s="36" t="s">
        <v>148</v>
      </c>
      <c r="D18" s="37">
        <v>1</v>
      </c>
    </row>
    <row r="19" spans="3:4" ht="15.75" thickBot="1" x14ac:dyDescent="0.3">
      <c r="C19" s="34" t="s">
        <v>149</v>
      </c>
      <c r="D19" s="35">
        <v>1</v>
      </c>
    </row>
    <row r="20" spans="3:4" ht="15.75" thickBot="1" x14ac:dyDescent="0.3">
      <c r="C20" s="36" t="s">
        <v>150</v>
      </c>
      <c r="D20" s="37" t="s">
        <v>147</v>
      </c>
    </row>
    <row r="21" spans="3:4" ht="15.75" thickBot="1" x14ac:dyDescent="0.3">
      <c r="C21" s="34" t="s">
        <v>151</v>
      </c>
      <c r="D21" s="35">
        <v>2</v>
      </c>
    </row>
    <row r="22" spans="3:4" ht="15.75" thickBot="1" x14ac:dyDescent="0.3">
      <c r="C22" s="36" t="s">
        <v>152</v>
      </c>
      <c r="D22" s="37">
        <v>2</v>
      </c>
    </row>
    <row r="23" spans="3:4" ht="15.75" thickBot="1" x14ac:dyDescent="0.3">
      <c r="C23" s="34" t="s">
        <v>153</v>
      </c>
      <c r="D23" s="35" t="s">
        <v>147</v>
      </c>
    </row>
    <row r="24" spans="3:4" ht="15.75" thickBot="1" x14ac:dyDescent="0.3">
      <c r="C24" s="36" t="s">
        <v>154</v>
      </c>
      <c r="D24" s="37" t="s">
        <v>147</v>
      </c>
    </row>
    <row r="25" spans="3:4" ht="15.75" thickBot="1" x14ac:dyDescent="0.3">
      <c r="C25" s="34" t="s">
        <v>155</v>
      </c>
      <c r="D25" s="35">
        <v>2</v>
      </c>
    </row>
    <row r="26" spans="3:4" ht="15.75" thickBot="1" x14ac:dyDescent="0.3">
      <c r="C26" s="36" t="s">
        <v>156</v>
      </c>
      <c r="D26" s="37">
        <v>2</v>
      </c>
    </row>
    <row r="27" spans="3:4" ht="15.75" thickBot="1" x14ac:dyDescent="0.3">
      <c r="C27" s="34" t="s">
        <v>157</v>
      </c>
      <c r="D27" s="35" t="s">
        <v>147</v>
      </c>
    </row>
    <row r="28" spans="3:4" ht="15.75" thickBot="1" x14ac:dyDescent="0.3">
      <c r="C28" s="36" t="s">
        <v>158</v>
      </c>
      <c r="D28" s="37">
        <v>2</v>
      </c>
    </row>
    <row r="29" spans="3:4" ht="15.75" thickBot="1" x14ac:dyDescent="0.3">
      <c r="C29" s="34" t="s">
        <v>159</v>
      </c>
      <c r="D29" s="35">
        <v>2</v>
      </c>
    </row>
    <row r="30" spans="3:4" ht="15.75" thickBot="1" x14ac:dyDescent="0.3">
      <c r="C30" s="36" t="s">
        <v>160</v>
      </c>
      <c r="D30" s="37" t="s">
        <v>147</v>
      </c>
    </row>
    <row r="31" spans="3:4" ht="15.75" thickBot="1" x14ac:dyDescent="0.3">
      <c r="C31" s="34" t="s">
        <v>161</v>
      </c>
      <c r="D31" s="35">
        <v>2</v>
      </c>
    </row>
    <row r="32" spans="3:4" ht="15.75" thickBot="1" x14ac:dyDescent="0.3">
      <c r="C32" s="36" t="s">
        <v>162</v>
      </c>
      <c r="D32" s="37">
        <v>2</v>
      </c>
    </row>
    <row r="33" spans="3:4" ht="15.75" thickBot="1" x14ac:dyDescent="0.3">
      <c r="C33" s="34" t="s">
        <v>163</v>
      </c>
      <c r="D33" s="35">
        <v>2</v>
      </c>
    </row>
    <row r="34" spans="3:4" ht="15.75" thickBot="1" x14ac:dyDescent="0.3">
      <c r="C34" s="36" t="s">
        <v>164</v>
      </c>
      <c r="D34" s="37">
        <v>1</v>
      </c>
    </row>
    <row r="35" spans="3:4" ht="15.75" thickBot="1" x14ac:dyDescent="0.3">
      <c r="C35" s="34" t="s">
        <v>165</v>
      </c>
      <c r="D35" s="35">
        <v>2</v>
      </c>
    </row>
    <row r="36" spans="3:4" ht="15.75" thickBot="1" x14ac:dyDescent="0.3">
      <c r="C36" s="36" t="s">
        <v>182</v>
      </c>
      <c r="D36" s="37">
        <v>2</v>
      </c>
    </row>
    <row r="37" spans="3:4" ht="15.75" thickBot="1" x14ac:dyDescent="0.3">
      <c r="C37" s="36" t="s">
        <v>181</v>
      </c>
      <c r="D37" s="37">
        <v>3</v>
      </c>
    </row>
    <row r="38" spans="3:4" ht="15.75" thickBot="1" x14ac:dyDescent="0.3">
      <c r="C38" s="34" t="s">
        <v>166</v>
      </c>
      <c r="D38" s="35">
        <v>2</v>
      </c>
    </row>
    <row r="39" spans="3:4" ht="15.75" thickBot="1" x14ac:dyDescent="0.3">
      <c r="C39" s="36" t="s">
        <v>184</v>
      </c>
      <c r="D39" s="37">
        <v>2</v>
      </c>
    </row>
    <row r="40" spans="3:4" ht="15.75" thickBot="1" x14ac:dyDescent="0.3">
      <c r="C40" s="36" t="s">
        <v>183</v>
      </c>
      <c r="D40" s="37">
        <v>3</v>
      </c>
    </row>
    <row r="41" spans="3:4" ht="15.75" thickBot="1" x14ac:dyDescent="0.3">
      <c r="C41" s="38" t="s">
        <v>167</v>
      </c>
      <c r="D41" s="39">
        <v>2</v>
      </c>
    </row>
    <row r="42" spans="3:4" ht="15.75" thickBot="1" x14ac:dyDescent="0.3">
      <c r="C42" s="36" t="s">
        <v>168</v>
      </c>
      <c r="D42" s="37">
        <v>1</v>
      </c>
    </row>
    <row r="43" spans="3:4" ht="15.75" thickBot="1" x14ac:dyDescent="0.3">
      <c r="C43" s="34" t="s">
        <v>169</v>
      </c>
      <c r="D43" s="35">
        <v>1</v>
      </c>
    </row>
    <row r="44" spans="3:4" ht="15.75" thickBot="1" x14ac:dyDescent="0.3">
      <c r="C44" s="36" t="s">
        <v>170</v>
      </c>
      <c r="D44" s="37">
        <v>2</v>
      </c>
    </row>
    <row r="45" spans="3:4" ht="15.75" thickBot="1" x14ac:dyDescent="0.3">
      <c r="C45" s="34" t="s">
        <v>171</v>
      </c>
      <c r="D45" s="35" t="s">
        <v>147</v>
      </c>
    </row>
    <row r="46" spans="3:4" ht="15.75" thickBot="1" x14ac:dyDescent="0.3">
      <c r="C46" s="36" t="s">
        <v>172</v>
      </c>
      <c r="D46" s="37">
        <v>2</v>
      </c>
    </row>
    <row r="47" spans="3:4" ht="15.75" thickBot="1" x14ac:dyDescent="0.3">
      <c r="C47" s="34" t="s">
        <v>173</v>
      </c>
      <c r="D47" s="35">
        <v>1</v>
      </c>
    </row>
    <row r="48" spans="3:4" ht="15.75" thickBot="1" x14ac:dyDescent="0.3">
      <c r="C48" s="36" t="s">
        <v>174</v>
      </c>
      <c r="D48" s="37">
        <v>1</v>
      </c>
    </row>
    <row r="49" spans="3:4" ht="15.75" thickBot="1" x14ac:dyDescent="0.3">
      <c r="C49" s="34" t="s">
        <v>175</v>
      </c>
      <c r="D49" s="35">
        <v>2</v>
      </c>
    </row>
    <row r="50" spans="3:4" ht="15.75" thickBot="1" x14ac:dyDescent="0.3">
      <c r="C50" s="36" t="s">
        <v>176</v>
      </c>
      <c r="D50" s="37">
        <v>1</v>
      </c>
    </row>
    <row r="51" spans="3:4" ht="15.75" thickBot="1" x14ac:dyDescent="0.3">
      <c r="C51" s="34" t="s">
        <v>177</v>
      </c>
      <c r="D51" s="35">
        <v>2</v>
      </c>
    </row>
    <row r="52" spans="3:4" ht="15.75" thickBot="1" x14ac:dyDescent="0.3">
      <c r="C52" s="36" t="s">
        <v>178</v>
      </c>
      <c r="D52" s="37" t="s">
        <v>147</v>
      </c>
    </row>
    <row r="53" spans="3:4" ht="15.75" thickBot="1" x14ac:dyDescent="0.3">
      <c r="C53" s="34" t="s">
        <v>179</v>
      </c>
      <c r="D53" s="35">
        <v>2</v>
      </c>
    </row>
    <row r="54" spans="3:4" ht="15.75" thickBot="1" x14ac:dyDescent="0.3">
      <c r="C54" s="36" t="s">
        <v>185</v>
      </c>
      <c r="D54" s="37">
        <v>2</v>
      </c>
    </row>
    <row r="55" spans="3:4" ht="15.75" thickBot="1" x14ac:dyDescent="0.3">
      <c r="C55" s="36" t="s">
        <v>186</v>
      </c>
      <c r="D55" s="37">
        <v>3</v>
      </c>
    </row>
    <row r="57" spans="3:4" x14ac:dyDescent="0.25">
      <c r="C57" s="40" t="s">
        <v>188</v>
      </c>
    </row>
    <row r="58" spans="3:4" x14ac:dyDescent="0.25">
      <c r="C58" s="41"/>
    </row>
    <row r="59" spans="3:4" ht="15.75" thickBot="1" x14ac:dyDescent="0.3">
      <c r="C59" s="41" t="s">
        <v>189</v>
      </c>
    </row>
    <row r="60" spans="3:4" ht="39" thickBot="1" x14ac:dyDescent="0.3">
      <c r="C60" s="42" t="s">
        <v>190</v>
      </c>
      <c r="D60" s="43" t="s">
        <v>191</v>
      </c>
    </row>
    <row r="61" spans="3:4" ht="51.75" thickBot="1" x14ac:dyDescent="0.3">
      <c r="C61" s="44" t="s">
        <v>192</v>
      </c>
      <c r="D61" s="45" t="s">
        <v>193</v>
      </c>
    </row>
    <row r="62" spans="3:4" ht="102.75" thickBot="1" x14ac:dyDescent="0.3">
      <c r="C62" s="46" t="s">
        <v>194</v>
      </c>
      <c r="D62" s="47" t="s">
        <v>195</v>
      </c>
    </row>
    <row r="64" spans="3:4" x14ac:dyDescent="0.25">
      <c r="C64" s="40" t="s">
        <v>196</v>
      </c>
    </row>
    <row r="65" spans="3:10" ht="15.75" thickBot="1" x14ac:dyDescent="0.3">
      <c r="C65" s="48" t="s">
        <v>197</v>
      </c>
    </row>
    <row r="66" spans="3:10" ht="15.75" thickBot="1" x14ac:dyDescent="0.3">
      <c r="C66" s="503" t="s">
        <v>141</v>
      </c>
      <c r="D66" s="501" t="s">
        <v>198</v>
      </c>
      <c r="E66" s="505"/>
      <c r="F66" s="501" t="s">
        <v>199</v>
      </c>
      <c r="G66" s="505"/>
      <c r="H66" s="501" t="s">
        <v>200</v>
      </c>
      <c r="I66" s="505"/>
    </row>
    <row r="67" spans="3:10" ht="15.75" thickBot="1" x14ac:dyDescent="0.3">
      <c r="C67" s="504"/>
      <c r="D67" s="49" t="s">
        <v>201</v>
      </c>
      <c r="E67" s="49" t="s">
        <v>202</v>
      </c>
      <c r="F67" s="49" t="s">
        <v>201</v>
      </c>
      <c r="G67" s="68" t="s">
        <v>202</v>
      </c>
      <c r="H67" s="49" t="s">
        <v>201</v>
      </c>
      <c r="I67" s="68" t="s">
        <v>202</v>
      </c>
    </row>
    <row r="68" spans="3:10" ht="15.75" thickBot="1" x14ac:dyDescent="0.3">
      <c r="C68" s="50" t="s">
        <v>203</v>
      </c>
      <c r="D68" s="35">
        <v>0.12</v>
      </c>
      <c r="E68" s="35">
        <v>0.54</v>
      </c>
      <c r="F68" s="35">
        <v>0.16</v>
      </c>
      <c r="G68" s="69">
        <v>0.6</v>
      </c>
      <c r="H68" s="35">
        <v>0.4</v>
      </c>
      <c r="I68" s="69">
        <v>0.95</v>
      </c>
    </row>
    <row r="69" spans="3:10" ht="15.75" thickBot="1" x14ac:dyDescent="0.3">
      <c r="C69" s="51" t="s">
        <v>204</v>
      </c>
      <c r="D69" s="37">
        <v>0.24</v>
      </c>
      <c r="E69" s="37">
        <v>0.66</v>
      </c>
      <c r="F69" s="37">
        <v>0.33</v>
      </c>
      <c r="G69" s="70">
        <v>0.82</v>
      </c>
      <c r="H69" s="37">
        <v>0.7</v>
      </c>
      <c r="I69" s="70">
        <v>1.35</v>
      </c>
    </row>
    <row r="70" spans="3:10" ht="15.75" thickBot="1" x14ac:dyDescent="0.3">
      <c r="C70" s="50" t="s">
        <v>205</v>
      </c>
      <c r="D70" s="35">
        <v>0.36</v>
      </c>
      <c r="E70" s="35">
        <v>1.02</v>
      </c>
      <c r="F70" s="35">
        <v>0.82</v>
      </c>
      <c r="G70" s="69">
        <v>1.26</v>
      </c>
      <c r="H70" s="35">
        <v>1.4</v>
      </c>
      <c r="I70" s="69">
        <v>1.65</v>
      </c>
    </row>
    <row r="71" spans="3:10" x14ac:dyDescent="0.25">
      <c r="C71" s="53"/>
    </row>
    <row r="72" spans="3:10" ht="15.75" thickBot="1" x14ac:dyDescent="0.3">
      <c r="C72" s="48" t="s">
        <v>206</v>
      </c>
    </row>
    <row r="73" spans="3:10" ht="15.75" thickBot="1" x14ac:dyDescent="0.3">
      <c r="C73" s="503" t="s">
        <v>141</v>
      </c>
      <c r="D73" s="501" t="s">
        <v>198</v>
      </c>
      <c r="E73" s="505"/>
      <c r="F73" s="501" t="s">
        <v>199</v>
      </c>
      <c r="G73" s="505"/>
      <c r="H73" s="501" t="s">
        <v>200</v>
      </c>
      <c r="I73" s="505"/>
    </row>
    <row r="74" spans="3:10" ht="15.75" thickBot="1" x14ac:dyDescent="0.3">
      <c r="C74" s="504"/>
      <c r="D74" s="49" t="s">
        <v>201</v>
      </c>
      <c r="E74" s="49" t="s">
        <v>202</v>
      </c>
      <c r="F74" s="49" t="s">
        <v>201</v>
      </c>
      <c r="G74" s="68" t="s">
        <v>202</v>
      </c>
      <c r="H74" s="49" t="s">
        <v>201</v>
      </c>
      <c r="I74" s="68" t="s">
        <v>202</v>
      </c>
    </row>
    <row r="75" spans="3:10" ht="15.75" thickBot="1" x14ac:dyDescent="0.3">
      <c r="C75" s="50" t="s">
        <v>203</v>
      </c>
      <c r="D75" s="35">
        <v>0.12</v>
      </c>
      <c r="E75" s="35">
        <v>0.66</v>
      </c>
      <c r="F75" s="35">
        <v>0.16</v>
      </c>
      <c r="G75" s="69">
        <v>0.71</v>
      </c>
      <c r="H75" s="35">
        <v>0.4</v>
      </c>
      <c r="I75" s="69">
        <v>1.05</v>
      </c>
    </row>
    <row r="76" spans="3:10" ht="15.75" thickBot="1" x14ac:dyDescent="0.3">
      <c r="C76" s="51" t="s">
        <v>204</v>
      </c>
      <c r="D76" s="37">
        <v>0.24</v>
      </c>
      <c r="E76" s="37">
        <v>0.78</v>
      </c>
      <c r="F76" s="37">
        <v>0.33</v>
      </c>
      <c r="G76" s="70">
        <v>0.93</v>
      </c>
      <c r="H76" s="37">
        <v>0.7</v>
      </c>
      <c r="I76" s="70">
        <v>1.45</v>
      </c>
    </row>
    <row r="77" spans="3:10" ht="15.75" thickBot="1" x14ac:dyDescent="0.3">
      <c r="C77" s="50" t="s">
        <v>205</v>
      </c>
      <c r="D77" s="35">
        <v>0.36</v>
      </c>
      <c r="E77" s="35">
        <v>1.1399999999999999</v>
      </c>
      <c r="F77" s="35">
        <v>0.82</v>
      </c>
      <c r="G77" s="69">
        <v>1.37</v>
      </c>
      <c r="H77" s="35">
        <v>1.4</v>
      </c>
      <c r="I77" s="69">
        <v>1.75</v>
      </c>
    </row>
    <row r="78" spans="3:10" x14ac:dyDescent="0.25">
      <c r="C78" s="48"/>
    </row>
    <row r="79" spans="3:10" ht="15.75" thickBot="1" x14ac:dyDescent="0.3">
      <c r="C79" s="48" t="s">
        <v>207</v>
      </c>
    </row>
    <row r="80" spans="3:10" ht="15.75" customHeight="1" thickBot="1" x14ac:dyDescent="0.3">
      <c r="C80" s="503" t="s">
        <v>141</v>
      </c>
      <c r="D80" s="501" t="s">
        <v>198</v>
      </c>
      <c r="E80" s="505"/>
      <c r="F80" s="501" t="s">
        <v>199</v>
      </c>
      <c r="G80" s="505"/>
      <c r="H80" s="501" t="s">
        <v>200</v>
      </c>
      <c r="I80" s="502"/>
      <c r="J80" s="71"/>
    </row>
    <row r="81" spans="3:10" ht="15.75" thickBot="1" x14ac:dyDescent="0.3">
      <c r="C81" s="504"/>
      <c r="D81" s="49" t="s">
        <v>201</v>
      </c>
      <c r="E81" s="49" t="s">
        <v>202</v>
      </c>
      <c r="F81" s="49" t="s">
        <v>201</v>
      </c>
      <c r="G81" s="68" t="s">
        <v>202</v>
      </c>
      <c r="H81" s="49" t="s">
        <v>201</v>
      </c>
      <c r="I81" s="72" t="s">
        <v>202</v>
      </c>
      <c r="J81" s="73"/>
    </row>
    <row r="82" spans="3:10" ht="15.75" thickBot="1" x14ac:dyDescent="0.3">
      <c r="C82" s="50" t="s">
        <v>203</v>
      </c>
      <c r="D82" s="35">
        <v>0.12</v>
      </c>
      <c r="E82" s="35">
        <v>0.84</v>
      </c>
      <c r="F82" s="35">
        <v>0.16</v>
      </c>
      <c r="G82" s="69">
        <v>0.88</v>
      </c>
      <c r="H82" s="54">
        <v>0.4</v>
      </c>
      <c r="I82" s="69">
        <v>1.2</v>
      </c>
    </row>
    <row r="83" spans="3:10" ht="15.75" thickBot="1" x14ac:dyDescent="0.3">
      <c r="C83" s="51" t="s">
        <v>204</v>
      </c>
      <c r="D83" s="37">
        <v>0.24</v>
      </c>
      <c r="E83" s="37">
        <v>0.96</v>
      </c>
      <c r="F83" s="37">
        <v>0.33</v>
      </c>
      <c r="G83" s="70">
        <v>1.1000000000000001</v>
      </c>
      <c r="H83" s="55">
        <v>0.7</v>
      </c>
      <c r="I83" s="70">
        <v>1.6</v>
      </c>
    </row>
    <row r="84" spans="3:10" ht="15.75" thickBot="1" x14ac:dyDescent="0.3">
      <c r="C84" s="50" t="s">
        <v>205</v>
      </c>
      <c r="D84" s="35">
        <v>0.36</v>
      </c>
      <c r="E84" s="35">
        <v>1.32</v>
      </c>
      <c r="F84" s="35">
        <v>0.82</v>
      </c>
      <c r="G84" s="69">
        <v>1.54</v>
      </c>
      <c r="H84" s="54">
        <v>1.4</v>
      </c>
      <c r="I84" s="69">
        <v>1.9</v>
      </c>
    </row>
  </sheetData>
  <mergeCells count="14">
    <mergeCell ref="F1:G1"/>
    <mergeCell ref="I1:J1"/>
    <mergeCell ref="H80:I80"/>
    <mergeCell ref="C80:C81"/>
    <mergeCell ref="D80:E80"/>
    <mergeCell ref="F80:G80"/>
    <mergeCell ref="C66:C67"/>
    <mergeCell ref="D66:E66"/>
    <mergeCell ref="F66:G66"/>
    <mergeCell ref="H66:I66"/>
    <mergeCell ref="C73:C74"/>
    <mergeCell ref="D73:E73"/>
    <mergeCell ref="F73:G73"/>
    <mergeCell ref="H73:I7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0F0243-9187-4A57-B4C7-D2F9303ABD2E}">
  <sheetPr codeName="Sheet3"/>
  <dimension ref="A1:D1003"/>
  <sheetViews>
    <sheetView zoomScale="130" zoomScaleNormal="130" workbookViewId="0">
      <pane xSplit="3" ySplit="1" topLeftCell="D8" activePane="bottomRight" state="frozen"/>
      <selection pane="topRight" activeCell="D1" sqref="D1"/>
      <selection pane="bottomLeft" activeCell="A2" sqref="A2"/>
      <selection pane="bottomRight" activeCell="B163" sqref="B163"/>
    </sheetView>
  </sheetViews>
  <sheetFormatPr defaultRowHeight="15" x14ac:dyDescent="0.25"/>
  <cols>
    <col min="1" max="1" width="8.42578125" customWidth="1"/>
    <col min="2" max="2" width="50" customWidth="1"/>
    <col min="3" max="3" width="8.42578125" customWidth="1"/>
    <col min="4" max="4" width="38.42578125" bestFit="1" customWidth="1"/>
  </cols>
  <sheetData>
    <row r="1" spans="1:4" s="1" customFormat="1" ht="81" customHeight="1" x14ac:dyDescent="0.25">
      <c r="A1" s="1" t="s">
        <v>1416</v>
      </c>
      <c r="B1" s="1" t="s">
        <v>1417</v>
      </c>
      <c r="C1" s="1" t="s">
        <v>1416</v>
      </c>
      <c r="D1" s="1" t="s">
        <v>1418</v>
      </c>
    </row>
    <row r="2" spans="1:4" x14ac:dyDescent="0.25">
      <c r="A2">
        <v>11000</v>
      </c>
      <c r="B2" t="s">
        <v>1421</v>
      </c>
      <c r="C2">
        <v>11000</v>
      </c>
      <c r="D2" t="s">
        <v>1422</v>
      </c>
    </row>
    <row r="3" spans="1:4" ht="15" customHeight="1" x14ac:dyDescent="0.25">
      <c r="A3">
        <v>12100</v>
      </c>
      <c r="B3" t="s">
        <v>1423</v>
      </c>
      <c r="C3">
        <v>12100</v>
      </c>
      <c r="D3" t="s">
        <v>1422</v>
      </c>
    </row>
    <row r="4" spans="1:4" x14ac:dyDescent="0.25">
      <c r="A4">
        <v>12200</v>
      </c>
      <c r="B4" t="s">
        <v>1424</v>
      </c>
      <c r="C4">
        <v>12200</v>
      </c>
      <c r="D4" t="s">
        <v>1422</v>
      </c>
    </row>
    <row r="5" spans="1:4" x14ac:dyDescent="0.25">
      <c r="A5">
        <v>12300</v>
      </c>
      <c r="B5" t="s">
        <v>1425</v>
      </c>
      <c r="C5">
        <v>12300</v>
      </c>
      <c r="D5" t="s">
        <v>1422</v>
      </c>
    </row>
    <row r="6" spans="1:4" x14ac:dyDescent="0.25">
      <c r="A6">
        <v>13000</v>
      </c>
      <c r="B6" t="s">
        <v>1426</v>
      </c>
      <c r="C6">
        <v>13000</v>
      </c>
      <c r="D6" t="s">
        <v>1422</v>
      </c>
    </row>
    <row r="7" spans="1:4" ht="15" customHeight="1" x14ac:dyDescent="0.25">
      <c r="A7">
        <v>14000</v>
      </c>
      <c r="B7" t="s">
        <v>1427</v>
      </c>
      <c r="C7">
        <v>14000</v>
      </c>
      <c r="D7" t="s">
        <v>1422</v>
      </c>
    </row>
    <row r="8" spans="1:4" ht="15" customHeight="1" x14ac:dyDescent="0.25">
      <c r="A8">
        <v>14100</v>
      </c>
      <c r="B8" t="s">
        <v>1428</v>
      </c>
      <c r="C8">
        <v>14100</v>
      </c>
      <c r="D8" t="s">
        <v>1422</v>
      </c>
    </row>
    <row r="9" spans="1:4" x14ac:dyDescent="0.25">
      <c r="A9">
        <v>14200</v>
      </c>
      <c r="B9" t="s">
        <v>1429</v>
      </c>
      <c r="C9">
        <v>14200</v>
      </c>
      <c r="D9" t="s">
        <v>1422</v>
      </c>
    </row>
    <row r="10" spans="1:4" ht="15" customHeight="1" x14ac:dyDescent="0.25">
      <c r="A10">
        <v>14200</v>
      </c>
      <c r="B10" t="s">
        <v>1430</v>
      </c>
      <c r="C10">
        <v>14200</v>
      </c>
      <c r="D10" t="s">
        <v>1431</v>
      </c>
    </row>
    <row r="11" spans="1:4" x14ac:dyDescent="0.25">
      <c r="A11">
        <v>15000</v>
      </c>
      <c r="B11" t="s">
        <v>1432</v>
      </c>
      <c r="C11">
        <v>15000</v>
      </c>
      <c r="D11" t="s">
        <v>1422</v>
      </c>
    </row>
    <row r="12" spans="1:4" x14ac:dyDescent="0.25">
      <c r="A12">
        <v>16000</v>
      </c>
      <c r="B12" t="s">
        <v>1433</v>
      </c>
      <c r="C12">
        <v>16000</v>
      </c>
      <c r="D12" t="s">
        <v>1422</v>
      </c>
    </row>
    <row r="13" spans="1:4" x14ac:dyDescent="0.25">
      <c r="A13">
        <v>17000</v>
      </c>
      <c r="B13" t="s">
        <v>1434</v>
      </c>
      <c r="C13">
        <v>17000</v>
      </c>
      <c r="D13" t="s">
        <v>1422</v>
      </c>
    </row>
    <row r="14" spans="1:4" x14ac:dyDescent="0.25">
      <c r="A14">
        <v>19000</v>
      </c>
      <c r="B14" t="s">
        <v>1435</v>
      </c>
      <c r="C14">
        <v>19000</v>
      </c>
      <c r="D14" t="s">
        <v>1422</v>
      </c>
    </row>
    <row r="15" spans="1:4" ht="15" customHeight="1" x14ac:dyDescent="0.25">
      <c r="A15">
        <v>20000</v>
      </c>
      <c r="B15" t="s">
        <v>1436</v>
      </c>
      <c r="C15">
        <v>20000</v>
      </c>
      <c r="D15" t="s">
        <v>1422</v>
      </c>
    </row>
    <row r="16" spans="1:4" x14ac:dyDescent="0.25">
      <c r="A16">
        <v>21000</v>
      </c>
      <c r="B16" t="s">
        <v>1437</v>
      </c>
      <c r="C16">
        <v>21000</v>
      </c>
      <c r="D16" t="s">
        <v>1422</v>
      </c>
    </row>
    <row r="17" spans="1:4" x14ac:dyDescent="0.25">
      <c r="A17">
        <v>38262</v>
      </c>
      <c r="B17" t="s">
        <v>1438</v>
      </c>
      <c r="C17">
        <v>38262</v>
      </c>
      <c r="D17" t="s">
        <v>1439</v>
      </c>
    </row>
    <row r="18" spans="1:4" x14ac:dyDescent="0.25">
      <c r="A18">
        <v>63000</v>
      </c>
      <c r="B18" t="s">
        <v>1440</v>
      </c>
      <c r="C18">
        <v>63000</v>
      </c>
      <c r="D18" t="s">
        <v>1422</v>
      </c>
    </row>
    <row r="19" spans="1:4" x14ac:dyDescent="0.25">
      <c r="A19">
        <v>73000</v>
      </c>
      <c r="B19" t="s">
        <v>1441</v>
      </c>
      <c r="C19">
        <v>73000</v>
      </c>
      <c r="D19" t="s">
        <v>1422</v>
      </c>
    </row>
    <row r="20" spans="1:4" x14ac:dyDescent="0.25">
      <c r="A20">
        <v>73101</v>
      </c>
      <c r="B20" t="s">
        <v>1442</v>
      </c>
      <c r="C20">
        <v>73101</v>
      </c>
      <c r="D20" t="s">
        <v>1422</v>
      </c>
    </row>
    <row r="21" spans="1:4" x14ac:dyDescent="0.25">
      <c r="A21">
        <v>73102</v>
      </c>
      <c r="B21" t="s">
        <v>1443</v>
      </c>
      <c r="C21">
        <v>73102</v>
      </c>
      <c r="D21" t="s">
        <v>1422</v>
      </c>
    </row>
    <row r="22" spans="1:4" x14ac:dyDescent="0.25">
      <c r="A22">
        <v>73300</v>
      </c>
      <c r="B22" t="s">
        <v>1444</v>
      </c>
      <c r="C22">
        <v>73300</v>
      </c>
      <c r="D22" t="s">
        <v>1422</v>
      </c>
    </row>
    <row r="23" spans="1:4" x14ac:dyDescent="0.25">
      <c r="A23">
        <v>73300</v>
      </c>
      <c r="B23" t="s">
        <v>1445</v>
      </c>
      <c r="C23">
        <v>73300</v>
      </c>
      <c r="D23" t="s">
        <v>1446</v>
      </c>
    </row>
    <row r="24" spans="1:4" x14ac:dyDescent="0.25">
      <c r="A24">
        <v>73400</v>
      </c>
      <c r="B24" t="s">
        <v>1447</v>
      </c>
      <c r="C24">
        <v>73400</v>
      </c>
      <c r="D24" t="s">
        <v>1422</v>
      </c>
    </row>
    <row r="25" spans="1:4" ht="15" customHeight="1" x14ac:dyDescent="0.25">
      <c r="A25">
        <v>73500</v>
      </c>
      <c r="B25" t="s">
        <v>1448</v>
      </c>
      <c r="C25">
        <v>73500</v>
      </c>
      <c r="D25" t="s">
        <v>1449</v>
      </c>
    </row>
    <row r="26" spans="1:4" ht="15" customHeight="1" x14ac:dyDescent="0.25">
      <c r="A26">
        <v>73501</v>
      </c>
      <c r="B26" s="149" t="s">
        <v>1450</v>
      </c>
      <c r="C26">
        <v>73501</v>
      </c>
      <c r="D26" t="s">
        <v>1449</v>
      </c>
    </row>
    <row r="27" spans="1:4" x14ac:dyDescent="0.25">
      <c r="A27">
        <v>73600</v>
      </c>
      <c r="B27" t="s">
        <v>1451</v>
      </c>
      <c r="C27">
        <v>73600</v>
      </c>
      <c r="D27" t="s">
        <v>1449</v>
      </c>
    </row>
    <row r="28" spans="1:4" ht="15" customHeight="1" x14ac:dyDescent="0.25">
      <c r="A28">
        <v>73700</v>
      </c>
      <c r="B28" t="s">
        <v>1452</v>
      </c>
      <c r="C28">
        <v>73700</v>
      </c>
      <c r="D28" t="s">
        <v>1453</v>
      </c>
    </row>
    <row r="29" spans="1:4" ht="15" customHeight="1" x14ac:dyDescent="0.25">
      <c r="A29">
        <v>73800</v>
      </c>
      <c r="B29" t="s">
        <v>1454</v>
      </c>
      <c r="C29">
        <v>73800</v>
      </c>
      <c r="D29" t="s">
        <v>1455</v>
      </c>
    </row>
    <row r="30" spans="1:4" x14ac:dyDescent="0.25">
      <c r="A30">
        <v>73801</v>
      </c>
      <c r="B30" t="s">
        <v>1456</v>
      </c>
      <c r="C30">
        <v>73801</v>
      </c>
      <c r="D30" t="s">
        <v>1455</v>
      </c>
    </row>
    <row r="31" spans="1:4" x14ac:dyDescent="0.25">
      <c r="A31">
        <v>74100</v>
      </c>
      <c r="B31" t="s">
        <v>1457</v>
      </c>
      <c r="C31">
        <v>74100</v>
      </c>
      <c r="D31" t="s">
        <v>1422</v>
      </c>
    </row>
    <row r="32" spans="1:4" ht="15" customHeight="1" x14ac:dyDescent="0.25">
      <c r="A32">
        <v>74100</v>
      </c>
      <c r="B32" t="s">
        <v>1458</v>
      </c>
      <c r="C32">
        <v>74100</v>
      </c>
      <c r="D32" t="s">
        <v>1453</v>
      </c>
    </row>
    <row r="33" spans="1:4" ht="15" customHeight="1" x14ac:dyDescent="0.25">
      <c r="A33">
        <v>74200</v>
      </c>
      <c r="B33" t="s">
        <v>1459</v>
      </c>
      <c r="C33">
        <v>74200</v>
      </c>
      <c r="D33" t="s">
        <v>1422</v>
      </c>
    </row>
    <row r="34" spans="1:4" x14ac:dyDescent="0.25">
      <c r="A34">
        <v>74200</v>
      </c>
      <c r="B34" t="s">
        <v>1460</v>
      </c>
      <c r="C34">
        <v>74200</v>
      </c>
      <c r="D34" t="s">
        <v>1453</v>
      </c>
    </row>
    <row r="35" spans="1:4" x14ac:dyDescent="0.25">
      <c r="A35">
        <v>79100</v>
      </c>
      <c r="B35" t="s">
        <v>1461</v>
      </c>
      <c r="C35">
        <v>79100</v>
      </c>
      <c r="D35" t="s">
        <v>1462</v>
      </c>
    </row>
    <row r="36" spans="1:4" x14ac:dyDescent="0.25">
      <c r="A36">
        <v>79200</v>
      </c>
      <c r="B36" t="s">
        <v>1463</v>
      </c>
      <c r="C36">
        <v>79200</v>
      </c>
      <c r="D36" t="s">
        <v>1462</v>
      </c>
    </row>
    <row r="37" spans="1:4" x14ac:dyDescent="0.25">
      <c r="A37">
        <v>98100</v>
      </c>
      <c r="B37" t="s">
        <v>1464</v>
      </c>
      <c r="C37">
        <v>98100</v>
      </c>
      <c r="D37" t="s">
        <v>1465</v>
      </c>
    </row>
    <row r="38" spans="1:4" x14ac:dyDescent="0.25">
      <c r="A38">
        <v>98200</v>
      </c>
      <c r="B38" t="s">
        <v>1466</v>
      </c>
      <c r="C38">
        <v>98200</v>
      </c>
      <c r="D38" t="s">
        <v>1465</v>
      </c>
    </row>
    <row r="39" spans="1:4" x14ac:dyDescent="0.25">
      <c r="A39">
        <v>100100</v>
      </c>
      <c r="B39" t="s">
        <v>1467</v>
      </c>
      <c r="C39">
        <v>100100</v>
      </c>
      <c r="D39" t="s">
        <v>1468</v>
      </c>
    </row>
    <row r="40" spans="1:4" x14ac:dyDescent="0.25">
      <c r="A40">
        <v>100200</v>
      </c>
      <c r="B40" t="s">
        <v>1469</v>
      </c>
      <c r="C40">
        <v>100200</v>
      </c>
      <c r="D40" t="s">
        <v>1468</v>
      </c>
    </row>
    <row r="41" spans="1:4" ht="15" customHeight="1" x14ac:dyDescent="0.25">
      <c r="A41">
        <v>110100</v>
      </c>
      <c r="B41" t="s">
        <v>1470</v>
      </c>
      <c r="C41">
        <v>110100</v>
      </c>
      <c r="D41" t="s">
        <v>1468</v>
      </c>
    </row>
    <row r="42" spans="1:4" x14ac:dyDescent="0.25">
      <c r="A42">
        <v>110200</v>
      </c>
      <c r="B42" t="s">
        <v>1471</v>
      </c>
      <c r="C42">
        <v>110200</v>
      </c>
      <c r="D42" t="s">
        <v>1468</v>
      </c>
    </row>
    <row r="43" spans="1:4" x14ac:dyDescent="0.25">
      <c r="A43">
        <v>139100</v>
      </c>
      <c r="B43" t="s">
        <v>1472</v>
      </c>
      <c r="C43">
        <v>139100</v>
      </c>
      <c r="D43" t="s">
        <v>1473</v>
      </c>
    </row>
    <row r="44" spans="1:4" x14ac:dyDescent="0.25">
      <c r="A44">
        <v>139200</v>
      </c>
      <c r="B44" t="s">
        <v>1474</v>
      </c>
      <c r="C44">
        <v>139200</v>
      </c>
      <c r="D44" t="s">
        <v>1473</v>
      </c>
    </row>
    <row r="45" spans="1:4" x14ac:dyDescent="0.25">
      <c r="A45">
        <v>139300</v>
      </c>
      <c r="B45" t="s">
        <v>1475</v>
      </c>
      <c r="C45">
        <v>139300</v>
      </c>
      <c r="D45" t="s">
        <v>1473</v>
      </c>
    </row>
    <row r="46" spans="1:4" x14ac:dyDescent="0.25">
      <c r="A46">
        <v>139400</v>
      </c>
      <c r="B46" t="s">
        <v>1476</v>
      </c>
      <c r="C46">
        <v>139400</v>
      </c>
      <c r="D46" t="s">
        <v>1473</v>
      </c>
    </row>
    <row r="47" spans="1:4" ht="15" customHeight="1" x14ac:dyDescent="0.25">
      <c r="A47">
        <v>139500</v>
      </c>
      <c r="B47" t="s">
        <v>1477</v>
      </c>
      <c r="C47">
        <v>139500</v>
      </c>
      <c r="D47" t="s">
        <v>1473</v>
      </c>
    </row>
    <row r="48" spans="1:4" x14ac:dyDescent="0.25">
      <c r="A48">
        <v>139600</v>
      </c>
      <c r="B48" t="s">
        <v>1478</v>
      </c>
      <c r="C48">
        <v>139600</v>
      </c>
      <c r="D48" t="s">
        <v>1473</v>
      </c>
    </row>
    <row r="49" spans="1:4" x14ac:dyDescent="0.25">
      <c r="A49">
        <v>139700</v>
      </c>
      <c r="B49" t="s">
        <v>1479</v>
      </c>
      <c r="C49">
        <v>139700</v>
      </c>
      <c r="D49" t="s">
        <v>1473</v>
      </c>
    </row>
    <row r="50" spans="1:4" x14ac:dyDescent="0.25">
      <c r="A50">
        <v>139800</v>
      </c>
      <c r="B50" t="s">
        <v>1480</v>
      </c>
      <c r="C50">
        <v>139800</v>
      </c>
      <c r="D50" t="s">
        <v>1473</v>
      </c>
    </row>
    <row r="51" spans="1:4" x14ac:dyDescent="0.25">
      <c r="A51">
        <v>140100</v>
      </c>
      <c r="B51" t="s">
        <v>1481</v>
      </c>
      <c r="C51">
        <v>140100</v>
      </c>
      <c r="D51" t="s">
        <v>1468</v>
      </c>
    </row>
    <row r="52" spans="1:4" x14ac:dyDescent="0.25">
      <c r="A52">
        <v>140200</v>
      </c>
      <c r="B52" t="s">
        <v>1482</v>
      </c>
      <c r="C52">
        <v>140200</v>
      </c>
      <c r="D52" t="s">
        <v>1468</v>
      </c>
    </row>
    <row r="53" spans="1:4" x14ac:dyDescent="0.25">
      <c r="A53">
        <v>140300</v>
      </c>
      <c r="B53" t="s">
        <v>1483</v>
      </c>
      <c r="C53">
        <v>140300</v>
      </c>
      <c r="D53" t="s">
        <v>1468</v>
      </c>
    </row>
    <row r="54" spans="1:4" x14ac:dyDescent="0.25">
      <c r="A54">
        <v>140400</v>
      </c>
      <c r="B54" t="s">
        <v>1484</v>
      </c>
      <c r="C54">
        <v>140400</v>
      </c>
      <c r="D54" t="s">
        <v>1468</v>
      </c>
    </row>
    <row r="55" spans="1:4" x14ac:dyDescent="0.25">
      <c r="A55">
        <v>151100</v>
      </c>
      <c r="B55" t="s">
        <v>1485</v>
      </c>
      <c r="C55">
        <v>151100</v>
      </c>
      <c r="D55" t="s">
        <v>1449</v>
      </c>
    </row>
    <row r="56" spans="1:4" x14ac:dyDescent="0.25">
      <c r="A56">
        <v>151200</v>
      </c>
      <c r="B56" t="s">
        <v>1486</v>
      </c>
      <c r="C56">
        <v>151200</v>
      </c>
      <c r="D56" t="s">
        <v>1449</v>
      </c>
    </row>
    <row r="57" spans="1:4" x14ac:dyDescent="0.25">
      <c r="A57">
        <v>151300</v>
      </c>
      <c r="B57" t="s">
        <v>1487</v>
      </c>
      <c r="C57">
        <v>151300</v>
      </c>
      <c r="D57" t="s">
        <v>1449</v>
      </c>
    </row>
    <row r="58" spans="1:4" x14ac:dyDescent="0.25">
      <c r="A58">
        <v>151400</v>
      </c>
      <c r="B58" t="s">
        <v>1420</v>
      </c>
      <c r="C58">
        <v>151400</v>
      </c>
      <c r="D58" t="s">
        <v>1449</v>
      </c>
    </row>
    <row r="59" spans="1:4" x14ac:dyDescent="0.25">
      <c r="A59">
        <v>151500</v>
      </c>
      <c r="B59" t="s">
        <v>1488</v>
      </c>
      <c r="C59">
        <v>151500</v>
      </c>
      <c r="D59" t="s">
        <v>1449</v>
      </c>
    </row>
    <row r="60" spans="1:4" ht="15" customHeight="1" x14ac:dyDescent="0.25">
      <c r="A60">
        <v>151501</v>
      </c>
      <c r="B60" t="s">
        <v>1489</v>
      </c>
      <c r="C60">
        <v>151501</v>
      </c>
      <c r="D60" t="s">
        <v>1449</v>
      </c>
    </row>
    <row r="61" spans="1:4" x14ac:dyDescent="0.25">
      <c r="A61">
        <v>151502</v>
      </c>
      <c r="B61" t="s">
        <v>1490</v>
      </c>
      <c r="C61">
        <v>151502</v>
      </c>
      <c r="D61" t="s">
        <v>1449</v>
      </c>
    </row>
    <row r="62" spans="1:4" x14ac:dyDescent="0.25">
      <c r="A62">
        <v>151503</v>
      </c>
      <c r="B62" t="s">
        <v>1491</v>
      </c>
      <c r="C62">
        <v>151503</v>
      </c>
      <c r="D62" t="s">
        <v>1449</v>
      </c>
    </row>
    <row r="63" spans="1:4" x14ac:dyDescent="0.25">
      <c r="A63">
        <v>152100</v>
      </c>
      <c r="B63" t="s">
        <v>1492</v>
      </c>
      <c r="C63">
        <v>152100</v>
      </c>
      <c r="D63" t="s">
        <v>1449</v>
      </c>
    </row>
    <row r="64" spans="1:4" x14ac:dyDescent="0.25">
      <c r="A64">
        <v>152200</v>
      </c>
      <c r="B64" t="s">
        <v>363</v>
      </c>
      <c r="C64">
        <v>152200</v>
      </c>
      <c r="D64" t="s">
        <v>1449</v>
      </c>
    </row>
    <row r="65" spans="1:4" x14ac:dyDescent="0.25">
      <c r="A65">
        <v>152201</v>
      </c>
      <c r="B65" t="s">
        <v>1493</v>
      </c>
      <c r="C65">
        <v>152201</v>
      </c>
      <c r="D65" t="s">
        <v>1449</v>
      </c>
    </row>
    <row r="66" spans="1:4" x14ac:dyDescent="0.25">
      <c r="A66">
        <v>152202</v>
      </c>
      <c r="B66" t="s">
        <v>1494</v>
      </c>
      <c r="C66">
        <v>152202</v>
      </c>
      <c r="D66" t="s">
        <v>1449</v>
      </c>
    </row>
    <row r="67" spans="1:4" ht="15" customHeight="1" x14ac:dyDescent="0.25">
      <c r="A67">
        <v>152300</v>
      </c>
      <c r="B67" t="s">
        <v>1495</v>
      </c>
      <c r="C67">
        <v>152300</v>
      </c>
      <c r="D67" t="s">
        <v>1449</v>
      </c>
    </row>
    <row r="68" spans="1:4" ht="15" customHeight="1" x14ac:dyDescent="0.25">
      <c r="A68">
        <v>152400</v>
      </c>
      <c r="B68" t="s">
        <v>1496</v>
      </c>
      <c r="C68">
        <v>152400</v>
      </c>
      <c r="D68" t="s">
        <v>1449</v>
      </c>
    </row>
    <row r="69" spans="1:4" ht="15" customHeight="1" x14ac:dyDescent="0.25">
      <c r="A69">
        <v>152500</v>
      </c>
      <c r="B69" t="s">
        <v>1497</v>
      </c>
      <c r="C69">
        <v>152500</v>
      </c>
      <c r="D69" t="s">
        <v>1449</v>
      </c>
    </row>
    <row r="70" spans="1:4" ht="15" customHeight="1" x14ac:dyDescent="0.25">
      <c r="A70">
        <v>152600</v>
      </c>
      <c r="B70" t="s">
        <v>1498</v>
      </c>
      <c r="C70">
        <v>152600</v>
      </c>
      <c r="D70" t="s">
        <v>1449</v>
      </c>
    </row>
    <row r="71" spans="1:4" x14ac:dyDescent="0.25">
      <c r="A71">
        <v>152700</v>
      </c>
      <c r="B71" t="s">
        <v>1499</v>
      </c>
      <c r="C71">
        <v>152700</v>
      </c>
      <c r="D71" t="s">
        <v>1449</v>
      </c>
    </row>
    <row r="72" spans="1:4" x14ac:dyDescent="0.25">
      <c r="A72">
        <v>152800</v>
      </c>
      <c r="B72" t="s">
        <v>1500</v>
      </c>
      <c r="C72">
        <v>152800</v>
      </c>
      <c r="D72" t="s">
        <v>1449</v>
      </c>
    </row>
    <row r="73" spans="1:4" x14ac:dyDescent="0.25">
      <c r="A73">
        <v>153100</v>
      </c>
      <c r="B73" t="s">
        <v>1501</v>
      </c>
      <c r="C73">
        <v>153100</v>
      </c>
      <c r="D73" t="s">
        <v>1449</v>
      </c>
    </row>
    <row r="74" spans="1:4" x14ac:dyDescent="0.25">
      <c r="A74">
        <v>153200</v>
      </c>
      <c r="B74" t="s">
        <v>1502</v>
      </c>
      <c r="C74">
        <v>153200</v>
      </c>
      <c r="D74" t="s">
        <v>1449</v>
      </c>
    </row>
    <row r="75" spans="1:4" x14ac:dyDescent="0.25">
      <c r="A75">
        <v>153300</v>
      </c>
      <c r="B75" t="s">
        <v>1503</v>
      </c>
      <c r="C75">
        <v>153300</v>
      </c>
      <c r="D75" t="s">
        <v>1449</v>
      </c>
    </row>
    <row r="76" spans="1:4" x14ac:dyDescent="0.25">
      <c r="A76">
        <v>153400</v>
      </c>
      <c r="B76" t="s">
        <v>1504</v>
      </c>
      <c r="C76">
        <v>153400</v>
      </c>
      <c r="D76" t="s">
        <v>1449</v>
      </c>
    </row>
    <row r="77" spans="1:4" x14ac:dyDescent="0.25">
      <c r="A77">
        <v>153500</v>
      </c>
      <c r="B77" t="s">
        <v>1505</v>
      </c>
      <c r="C77">
        <v>153500</v>
      </c>
      <c r="D77" t="s">
        <v>1449</v>
      </c>
    </row>
    <row r="78" spans="1:4" x14ac:dyDescent="0.25">
      <c r="A78">
        <v>153600</v>
      </c>
      <c r="B78" t="s">
        <v>1506</v>
      </c>
      <c r="C78">
        <v>153600</v>
      </c>
      <c r="D78" t="s">
        <v>1449</v>
      </c>
    </row>
    <row r="79" spans="1:4" ht="15" customHeight="1" x14ac:dyDescent="0.25">
      <c r="A79">
        <v>153700</v>
      </c>
      <c r="B79" t="s">
        <v>1507</v>
      </c>
      <c r="C79">
        <v>153700</v>
      </c>
      <c r="D79" t="s">
        <v>1449</v>
      </c>
    </row>
    <row r="80" spans="1:4" x14ac:dyDescent="0.25">
      <c r="A80">
        <v>162100</v>
      </c>
      <c r="B80" t="s">
        <v>1508</v>
      </c>
      <c r="C80">
        <v>162100</v>
      </c>
      <c r="D80" t="s">
        <v>1449</v>
      </c>
    </row>
    <row r="81" spans="1:4" x14ac:dyDescent="0.25">
      <c r="A81">
        <v>162200</v>
      </c>
      <c r="B81" t="s">
        <v>1509</v>
      </c>
      <c r="C81">
        <v>162200</v>
      </c>
      <c r="D81" t="s">
        <v>1449</v>
      </c>
    </row>
    <row r="82" spans="1:4" x14ac:dyDescent="0.25">
      <c r="A82">
        <v>162300</v>
      </c>
      <c r="B82" t="s">
        <v>1510</v>
      </c>
      <c r="C82">
        <v>162300</v>
      </c>
      <c r="D82" t="s">
        <v>1449</v>
      </c>
    </row>
    <row r="83" spans="1:4" x14ac:dyDescent="0.25">
      <c r="A83">
        <v>162400</v>
      </c>
      <c r="B83" t="s">
        <v>1511</v>
      </c>
      <c r="C83">
        <v>162400</v>
      </c>
      <c r="D83" t="s">
        <v>1449</v>
      </c>
    </row>
    <row r="84" spans="1:4" x14ac:dyDescent="0.25">
      <c r="A84">
        <v>162500</v>
      </c>
      <c r="B84" t="s">
        <v>1512</v>
      </c>
      <c r="C84">
        <v>162500</v>
      </c>
      <c r="D84" t="s">
        <v>1449</v>
      </c>
    </row>
    <row r="85" spans="1:4" x14ac:dyDescent="0.25">
      <c r="A85">
        <v>163100</v>
      </c>
      <c r="B85" t="s">
        <v>1513</v>
      </c>
      <c r="C85">
        <v>163100</v>
      </c>
      <c r="D85" t="s">
        <v>1449</v>
      </c>
    </row>
    <row r="86" spans="1:4" x14ac:dyDescent="0.25">
      <c r="A86">
        <v>163101</v>
      </c>
      <c r="B86" t="s">
        <v>1514</v>
      </c>
      <c r="C86">
        <v>163101</v>
      </c>
      <c r="D86" t="s">
        <v>1449</v>
      </c>
    </row>
    <row r="87" spans="1:4" x14ac:dyDescent="0.25">
      <c r="A87">
        <v>163102</v>
      </c>
      <c r="B87" t="s">
        <v>1515</v>
      </c>
      <c r="C87">
        <v>163102</v>
      </c>
      <c r="D87" t="s">
        <v>1449</v>
      </c>
    </row>
    <row r="88" spans="1:4" x14ac:dyDescent="0.25">
      <c r="A88">
        <v>163200</v>
      </c>
      <c r="B88" t="s">
        <v>1516</v>
      </c>
      <c r="C88">
        <v>163200</v>
      </c>
      <c r="D88" t="s">
        <v>1449</v>
      </c>
    </row>
    <row r="89" spans="1:4" x14ac:dyDescent="0.25">
      <c r="A89">
        <v>163300</v>
      </c>
      <c r="B89" t="s">
        <v>1517</v>
      </c>
      <c r="C89">
        <v>163300</v>
      </c>
      <c r="D89" t="s">
        <v>1449</v>
      </c>
    </row>
    <row r="90" spans="1:4" x14ac:dyDescent="0.25">
      <c r="A90">
        <v>163400</v>
      </c>
      <c r="B90" t="s">
        <v>1518</v>
      </c>
      <c r="C90">
        <v>163400</v>
      </c>
      <c r="D90" t="s">
        <v>1449</v>
      </c>
    </row>
    <row r="91" spans="1:4" x14ac:dyDescent="0.25">
      <c r="A91">
        <v>163500</v>
      </c>
      <c r="B91" t="s">
        <v>1519</v>
      </c>
      <c r="C91">
        <v>163500</v>
      </c>
      <c r="D91" t="s">
        <v>1449</v>
      </c>
    </row>
    <row r="92" spans="1:4" x14ac:dyDescent="0.25">
      <c r="A92">
        <v>163600</v>
      </c>
      <c r="B92" t="s">
        <v>1520</v>
      </c>
      <c r="C92">
        <v>163600</v>
      </c>
      <c r="D92" t="s">
        <v>1449</v>
      </c>
    </row>
    <row r="93" spans="1:4" x14ac:dyDescent="0.25">
      <c r="A93">
        <v>163700</v>
      </c>
      <c r="B93" t="s">
        <v>1521</v>
      </c>
      <c r="C93">
        <v>163700</v>
      </c>
      <c r="D93" t="s">
        <v>1449</v>
      </c>
    </row>
    <row r="94" spans="1:4" x14ac:dyDescent="0.25">
      <c r="A94">
        <v>163800</v>
      </c>
      <c r="B94" t="s">
        <v>1522</v>
      </c>
      <c r="C94">
        <v>163800</v>
      </c>
      <c r="D94" t="s">
        <v>1449</v>
      </c>
    </row>
    <row r="95" spans="1:4" x14ac:dyDescent="0.25">
      <c r="A95">
        <v>171100</v>
      </c>
      <c r="B95" t="s">
        <v>1523</v>
      </c>
      <c r="C95">
        <v>171100</v>
      </c>
      <c r="D95" t="s">
        <v>1449</v>
      </c>
    </row>
    <row r="96" spans="1:4" x14ac:dyDescent="0.25">
      <c r="A96">
        <v>171200</v>
      </c>
      <c r="B96" t="s">
        <v>1524</v>
      </c>
      <c r="C96">
        <v>171200</v>
      </c>
      <c r="D96" t="s">
        <v>1449</v>
      </c>
    </row>
    <row r="97" spans="1:4" x14ac:dyDescent="0.25">
      <c r="A97">
        <v>171300</v>
      </c>
      <c r="B97" t="s">
        <v>1525</v>
      </c>
      <c r="C97">
        <v>171300</v>
      </c>
      <c r="D97" t="s">
        <v>1449</v>
      </c>
    </row>
    <row r="98" spans="1:4" x14ac:dyDescent="0.25">
      <c r="A98">
        <v>171400</v>
      </c>
      <c r="B98" t="s">
        <v>1526</v>
      </c>
      <c r="C98">
        <v>171400</v>
      </c>
      <c r="D98" t="s">
        <v>1449</v>
      </c>
    </row>
    <row r="99" spans="1:4" x14ac:dyDescent="0.25">
      <c r="A99">
        <v>171500</v>
      </c>
      <c r="B99" t="s">
        <v>1527</v>
      </c>
      <c r="C99">
        <v>171500</v>
      </c>
      <c r="D99" t="s">
        <v>1449</v>
      </c>
    </row>
    <row r="100" spans="1:4" x14ac:dyDescent="0.25">
      <c r="A100">
        <v>171600</v>
      </c>
      <c r="B100" t="s">
        <v>1528</v>
      </c>
      <c r="C100">
        <v>171600</v>
      </c>
      <c r="D100" t="s">
        <v>1449</v>
      </c>
    </row>
    <row r="101" spans="1:4" x14ac:dyDescent="0.25">
      <c r="A101">
        <v>171700</v>
      </c>
      <c r="B101" t="s">
        <v>1529</v>
      </c>
      <c r="C101">
        <v>171700</v>
      </c>
      <c r="D101" t="s">
        <v>1449</v>
      </c>
    </row>
    <row r="102" spans="1:4" x14ac:dyDescent="0.25">
      <c r="A102">
        <v>171701</v>
      </c>
      <c r="B102" t="s">
        <v>1530</v>
      </c>
      <c r="C102">
        <v>171701</v>
      </c>
      <c r="D102" t="s">
        <v>1449</v>
      </c>
    </row>
    <row r="103" spans="1:4" x14ac:dyDescent="0.25">
      <c r="A103">
        <v>171702</v>
      </c>
      <c r="B103" t="s">
        <v>1531</v>
      </c>
      <c r="C103">
        <v>171702</v>
      </c>
      <c r="D103" t="s">
        <v>1449</v>
      </c>
    </row>
    <row r="104" spans="1:4" x14ac:dyDescent="0.25">
      <c r="A104">
        <v>171800</v>
      </c>
      <c r="B104" s="149" t="s">
        <v>1532</v>
      </c>
      <c r="C104">
        <v>171800</v>
      </c>
      <c r="D104" t="s">
        <v>1449</v>
      </c>
    </row>
    <row r="105" spans="1:4" x14ac:dyDescent="0.25">
      <c r="A105">
        <v>171900</v>
      </c>
      <c r="B105" t="s">
        <v>1533</v>
      </c>
      <c r="C105">
        <v>171900</v>
      </c>
      <c r="D105" t="s">
        <v>1449</v>
      </c>
    </row>
    <row r="106" spans="1:4" x14ac:dyDescent="0.25">
      <c r="A106">
        <v>171902</v>
      </c>
      <c r="B106" t="s">
        <v>1534</v>
      </c>
      <c r="C106">
        <v>171902</v>
      </c>
      <c r="D106" t="s">
        <v>1449</v>
      </c>
    </row>
    <row r="107" spans="1:4" x14ac:dyDescent="0.25">
      <c r="A107">
        <v>172000</v>
      </c>
      <c r="B107" t="s">
        <v>1535</v>
      </c>
      <c r="C107">
        <v>172000</v>
      </c>
      <c r="D107" t="s">
        <v>1449</v>
      </c>
    </row>
    <row r="108" spans="1:4" x14ac:dyDescent="0.25">
      <c r="A108">
        <v>173100</v>
      </c>
      <c r="B108" t="s">
        <v>1536</v>
      </c>
      <c r="C108">
        <v>173100</v>
      </c>
      <c r="D108" t="s">
        <v>1449</v>
      </c>
    </row>
    <row r="109" spans="1:4" x14ac:dyDescent="0.25">
      <c r="A109">
        <v>173101</v>
      </c>
      <c r="B109" t="s">
        <v>1537</v>
      </c>
      <c r="C109">
        <v>173101</v>
      </c>
      <c r="D109" t="s">
        <v>1449</v>
      </c>
    </row>
    <row r="110" spans="1:4" x14ac:dyDescent="0.25">
      <c r="A110">
        <v>173102</v>
      </c>
      <c r="B110" t="s">
        <v>1538</v>
      </c>
      <c r="C110">
        <v>173102</v>
      </c>
      <c r="D110" t="s">
        <v>1449</v>
      </c>
    </row>
    <row r="111" spans="1:4" x14ac:dyDescent="0.25">
      <c r="A111">
        <v>173200</v>
      </c>
      <c r="B111" t="s">
        <v>1539</v>
      </c>
      <c r="C111">
        <v>173200</v>
      </c>
      <c r="D111" t="s">
        <v>1449</v>
      </c>
    </row>
    <row r="112" spans="1:4" x14ac:dyDescent="0.25">
      <c r="A112">
        <v>173201</v>
      </c>
      <c r="B112" t="s">
        <v>1540</v>
      </c>
      <c r="C112">
        <v>173201</v>
      </c>
      <c r="D112" t="s">
        <v>1449</v>
      </c>
    </row>
    <row r="113" spans="1:4" x14ac:dyDescent="0.25">
      <c r="A113">
        <v>173300</v>
      </c>
      <c r="B113" t="s">
        <v>1541</v>
      </c>
      <c r="C113">
        <v>173300</v>
      </c>
      <c r="D113" t="s">
        <v>1449</v>
      </c>
    </row>
    <row r="114" spans="1:4" x14ac:dyDescent="0.25">
      <c r="A114">
        <v>173400</v>
      </c>
      <c r="B114" t="s">
        <v>1542</v>
      </c>
      <c r="C114">
        <v>173400</v>
      </c>
      <c r="D114" t="s">
        <v>1449</v>
      </c>
    </row>
    <row r="115" spans="1:4" x14ac:dyDescent="0.25">
      <c r="A115">
        <v>173500</v>
      </c>
      <c r="B115" t="s">
        <v>1543</v>
      </c>
      <c r="C115">
        <v>173500</v>
      </c>
      <c r="D115" t="s">
        <v>1449</v>
      </c>
    </row>
    <row r="116" spans="1:4" x14ac:dyDescent="0.25">
      <c r="A116">
        <v>173501</v>
      </c>
      <c r="B116" t="s">
        <v>1544</v>
      </c>
      <c r="C116">
        <v>173501</v>
      </c>
      <c r="D116" t="s">
        <v>1449</v>
      </c>
    </row>
    <row r="117" spans="1:4" x14ac:dyDescent="0.25">
      <c r="A117">
        <v>173502</v>
      </c>
      <c r="B117" t="s">
        <v>1545</v>
      </c>
      <c r="C117">
        <v>173502</v>
      </c>
      <c r="D117" t="s">
        <v>1449</v>
      </c>
    </row>
    <row r="118" spans="1:4" x14ac:dyDescent="0.25">
      <c r="A118">
        <v>173600</v>
      </c>
      <c r="B118" t="s">
        <v>1546</v>
      </c>
      <c r="C118">
        <v>173600</v>
      </c>
      <c r="D118" t="s">
        <v>1449</v>
      </c>
    </row>
    <row r="119" spans="1:4" x14ac:dyDescent="0.25">
      <c r="A119">
        <v>173602</v>
      </c>
      <c r="B119" t="s">
        <v>1547</v>
      </c>
      <c r="C119">
        <v>173602</v>
      </c>
      <c r="D119" t="s">
        <v>1449</v>
      </c>
    </row>
    <row r="120" spans="1:4" x14ac:dyDescent="0.25">
      <c r="A120">
        <v>174100</v>
      </c>
      <c r="B120" t="s">
        <v>1548</v>
      </c>
      <c r="C120">
        <v>174100</v>
      </c>
      <c r="D120" t="s">
        <v>1449</v>
      </c>
    </row>
    <row r="121" spans="1:4" x14ac:dyDescent="0.25">
      <c r="A121">
        <v>174200</v>
      </c>
      <c r="B121" t="s">
        <v>1549</v>
      </c>
      <c r="C121">
        <v>174200</v>
      </c>
      <c r="D121" t="s">
        <v>1449</v>
      </c>
    </row>
    <row r="122" spans="1:4" x14ac:dyDescent="0.25">
      <c r="A122">
        <v>174300</v>
      </c>
      <c r="B122" t="s">
        <v>1550</v>
      </c>
      <c r="C122">
        <v>174300</v>
      </c>
      <c r="D122" t="s">
        <v>1449</v>
      </c>
    </row>
    <row r="123" spans="1:4" x14ac:dyDescent="0.25">
      <c r="A123">
        <v>174400</v>
      </c>
      <c r="B123" t="s">
        <v>1551</v>
      </c>
      <c r="C123">
        <v>174400</v>
      </c>
      <c r="D123" t="s">
        <v>1449</v>
      </c>
    </row>
    <row r="124" spans="1:4" x14ac:dyDescent="0.25">
      <c r="A124">
        <v>174500</v>
      </c>
      <c r="B124" t="s">
        <v>1552</v>
      </c>
      <c r="C124">
        <v>174500</v>
      </c>
      <c r="D124" t="s">
        <v>1449</v>
      </c>
    </row>
    <row r="125" spans="1:4" x14ac:dyDescent="0.25">
      <c r="A125">
        <v>175100</v>
      </c>
      <c r="B125" t="s">
        <v>1553</v>
      </c>
      <c r="C125">
        <v>175100</v>
      </c>
      <c r="D125" t="s">
        <v>1449</v>
      </c>
    </row>
    <row r="126" spans="1:4" x14ac:dyDescent="0.25">
      <c r="A126">
        <v>175200</v>
      </c>
      <c r="B126" t="s">
        <v>1554</v>
      </c>
      <c r="C126">
        <v>175200</v>
      </c>
      <c r="D126" t="s">
        <v>1449</v>
      </c>
    </row>
    <row r="127" spans="1:4" ht="15" customHeight="1" x14ac:dyDescent="0.25">
      <c r="A127">
        <v>175300</v>
      </c>
      <c r="B127" t="s">
        <v>1555</v>
      </c>
      <c r="C127">
        <v>175300</v>
      </c>
      <c r="D127" t="s">
        <v>1449</v>
      </c>
    </row>
    <row r="128" spans="1:4" x14ac:dyDescent="0.25">
      <c r="A128">
        <v>175302</v>
      </c>
      <c r="B128" t="s">
        <v>1556</v>
      </c>
      <c r="C128">
        <v>175302</v>
      </c>
      <c r="D128" t="s">
        <v>1449</v>
      </c>
    </row>
    <row r="129" spans="1:4" x14ac:dyDescent="0.25">
      <c r="A129">
        <v>175400</v>
      </c>
      <c r="B129" t="s">
        <v>1557</v>
      </c>
      <c r="C129">
        <v>175400</v>
      </c>
      <c r="D129" t="s">
        <v>1449</v>
      </c>
    </row>
    <row r="130" spans="1:4" x14ac:dyDescent="0.25">
      <c r="A130">
        <v>175500</v>
      </c>
      <c r="B130" t="s">
        <v>1558</v>
      </c>
      <c r="C130">
        <v>175500</v>
      </c>
      <c r="D130" t="s">
        <v>1449</v>
      </c>
    </row>
    <row r="131" spans="1:4" x14ac:dyDescent="0.25">
      <c r="A131">
        <v>175600</v>
      </c>
      <c r="B131" t="s">
        <v>1559</v>
      </c>
      <c r="C131">
        <v>175600</v>
      </c>
      <c r="D131" t="s">
        <v>1449</v>
      </c>
    </row>
    <row r="132" spans="1:4" x14ac:dyDescent="0.25">
      <c r="A132">
        <v>175602</v>
      </c>
      <c r="B132" t="s">
        <v>1561</v>
      </c>
      <c r="C132">
        <v>175602</v>
      </c>
      <c r="D132" t="s">
        <v>1449</v>
      </c>
    </row>
    <row r="133" spans="1:4" x14ac:dyDescent="0.25">
      <c r="A133">
        <v>175603</v>
      </c>
      <c r="B133" t="s">
        <v>1562</v>
      </c>
      <c r="C133">
        <v>175603</v>
      </c>
      <c r="D133" t="s">
        <v>1449</v>
      </c>
    </row>
    <row r="134" spans="1:4" x14ac:dyDescent="0.25">
      <c r="A134">
        <v>175604</v>
      </c>
      <c r="B134" t="s">
        <v>1563</v>
      </c>
      <c r="C134">
        <v>175604</v>
      </c>
      <c r="D134" t="s">
        <v>1449</v>
      </c>
    </row>
    <row r="135" spans="1:4" x14ac:dyDescent="0.25">
      <c r="A135">
        <v>175605</v>
      </c>
      <c r="B135" t="s">
        <v>1564</v>
      </c>
      <c r="C135">
        <v>175605</v>
      </c>
      <c r="D135" t="s">
        <v>1449</v>
      </c>
    </row>
    <row r="136" spans="1:4" ht="15" customHeight="1" x14ac:dyDescent="0.25">
      <c r="A136">
        <v>175700</v>
      </c>
      <c r="B136" t="s">
        <v>1565</v>
      </c>
      <c r="C136">
        <v>175700</v>
      </c>
      <c r="D136" t="s">
        <v>1449</v>
      </c>
    </row>
    <row r="137" spans="1:4" x14ac:dyDescent="0.25">
      <c r="A137">
        <v>175701</v>
      </c>
      <c r="B137" t="s">
        <v>1566</v>
      </c>
      <c r="C137">
        <v>175701</v>
      </c>
      <c r="D137" t="s">
        <v>1449</v>
      </c>
    </row>
    <row r="138" spans="1:4" x14ac:dyDescent="0.25">
      <c r="A138">
        <v>175702</v>
      </c>
      <c r="B138" t="s">
        <v>1567</v>
      </c>
      <c r="C138">
        <v>175702</v>
      </c>
      <c r="D138" t="s">
        <v>236</v>
      </c>
    </row>
    <row r="139" spans="1:4" x14ac:dyDescent="0.25">
      <c r="A139">
        <v>176100</v>
      </c>
      <c r="B139" t="s">
        <v>1568</v>
      </c>
      <c r="C139">
        <v>176100</v>
      </c>
      <c r="D139" t="s">
        <v>1449</v>
      </c>
    </row>
    <row r="140" spans="1:4" x14ac:dyDescent="0.25">
      <c r="A140">
        <v>176200</v>
      </c>
      <c r="B140" t="s">
        <v>1569</v>
      </c>
      <c r="C140">
        <v>176200</v>
      </c>
      <c r="D140" t="s">
        <v>1449</v>
      </c>
    </row>
    <row r="141" spans="1:4" x14ac:dyDescent="0.25">
      <c r="A141">
        <v>176201</v>
      </c>
      <c r="B141" t="s">
        <v>1570</v>
      </c>
      <c r="C141">
        <v>176201</v>
      </c>
      <c r="D141" t="s">
        <v>1449</v>
      </c>
    </row>
    <row r="142" spans="1:4" x14ac:dyDescent="0.25">
      <c r="A142">
        <v>176202</v>
      </c>
      <c r="B142" t="s">
        <v>1571</v>
      </c>
      <c r="C142">
        <v>176202</v>
      </c>
      <c r="D142" t="s">
        <v>1449</v>
      </c>
    </row>
    <row r="143" spans="1:4" x14ac:dyDescent="0.25">
      <c r="A143">
        <v>176203</v>
      </c>
      <c r="B143" t="s">
        <v>1572</v>
      </c>
      <c r="C143">
        <v>176203</v>
      </c>
      <c r="D143" t="s">
        <v>1449</v>
      </c>
    </row>
    <row r="144" spans="1:4" x14ac:dyDescent="0.25">
      <c r="A144">
        <v>176300</v>
      </c>
      <c r="B144" t="s">
        <v>1573</v>
      </c>
      <c r="C144">
        <v>176300</v>
      </c>
      <c r="D144" t="s">
        <v>1449</v>
      </c>
    </row>
    <row r="145" spans="1:4" x14ac:dyDescent="0.25">
      <c r="A145">
        <v>176400</v>
      </c>
      <c r="B145" t="s">
        <v>1574</v>
      </c>
      <c r="C145">
        <v>176400</v>
      </c>
      <c r="D145" t="s">
        <v>1449</v>
      </c>
    </row>
    <row r="146" spans="1:4" x14ac:dyDescent="0.25">
      <c r="A146">
        <v>176500</v>
      </c>
      <c r="B146" t="s">
        <v>1575</v>
      </c>
      <c r="C146">
        <v>176500</v>
      </c>
      <c r="D146" t="s">
        <v>1449</v>
      </c>
    </row>
    <row r="147" spans="1:4" x14ac:dyDescent="0.25">
      <c r="A147">
        <v>176600</v>
      </c>
      <c r="B147" t="s">
        <v>1576</v>
      </c>
      <c r="C147">
        <v>176600</v>
      </c>
      <c r="D147" t="s">
        <v>1449</v>
      </c>
    </row>
    <row r="148" spans="1:4" x14ac:dyDescent="0.25">
      <c r="A148">
        <v>177000</v>
      </c>
      <c r="B148" t="s">
        <v>1577</v>
      </c>
      <c r="C148">
        <v>177000</v>
      </c>
      <c r="D148" t="s">
        <v>1449</v>
      </c>
    </row>
    <row r="149" spans="1:4" x14ac:dyDescent="0.25">
      <c r="A149">
        <v>177001</v>
      </c>
      <c r="B149" t="s">
        <v>1578</v>
      </c>
      <c r="C149">
        <v>177001</v>
      </c>
      <c r="D149" t="s">
        <v>1449</v>
      </c>
    </row>
    <row r="150" spans="1:4" x14ac:dyDescent="0.25">
      <c r="A150">
        <v>177002</v>
      </c>
      <c r="B150" t="s">
        <v>1579</v>
      </c>
      <c r="C150">
        <v>177002</v>
      </c>
      <c r="D150" t="s">
        <v>1449</v>
      </c>
    </row>
    <row r="151" spans="1:4" x14ac:dyDescent="0.25">
      <c r="A151">
        <v>177100</v>
      </c>
      <c r="B151" t="s">
        <v>1580</v>
      </c>
      <c r="C151">
        <v>177100</v>
      </c>
      <c r="D151" t="s">
        <v>1449</v>
      </c>
    </row>
    <row r="152" spans="1:4" x14ac:dyDescent="0.25">
      <c r="A152">
        <v>177200</v>
      </c>
      <c r="B152" t="s">
        <v>1581</v>
      </c>
      <c r="C152">
        <v>177200</v>
      </c>
      <c r="D152" t="s">
        <v>1449</v>
      </c>
    </row>
    <row r="153" spans="1:4" x14ac:dyDescent="0.25">
      <c r="A153">
        <v>177300</v>
      </c>
      <c r="B153" t="s">
        <v>1582</v>
      </c>
      <c r="C153">
        <v>177300</v>
      </c>
      <c r="D153" t="s">
        <v>1449</v>
      </c>
    </row>
    <row r="154" spans="1:4" x14ac:dyDescent="0.25">
      <c r="A154">
        <v>177400</v>
      </c>
      <c r="B154" t="s">
        <v>1419</v>
      </c>
      <c r="C154">
        <v>177400</v>
      </c>
      <c r="D154" t="s">
        <v>1449</v>
      </c>
    </row>
    <row r="155" spans="1:4" x14ac:dyDescent="0.25">
      <c r="A155">
        <v>177401</v>
      </c>
      <c r="B155" t="s">
        <v>1583</v>
      </c>
      <c r="C155">
        <v>177401</v>
      </c>
      <c r="D155" t="s">
        <v>1449</v>
      </c>
    </row>
    <row r="156" spans="1:4" x14ac:dyDescent="0.25">
      <c r="A156">
        <v>177500</v>
      </c>
      <c r="B156" t="s">
        <v>1584</v>
      </c>
      <c r="C156">
        <v>177500</v>
      </c>
      <c r="D156" t="s">
        <v>1449</v>
      </c>
    </row>
    <row r="157" spans="1:4" x14ac:dyDescent="0.25">
      <c r="A157">
        <v>177501</v>
      </c>
      <c r="B157" t="s">
        <v>1585</v>
      </c>
      <c r="C157">
        <v>177501</v>
      </c>
      <c r="D157" t="s">
        <v>1449</v>
      </c>
    </row>
    <row r="158" spans="1:4" x14ac:dyDescent="0.25">
      <c r="A158">
        <v>177502</v>
      </c>
      <c r="B158" t="s">
        <v>1586</v>
      </c>
      <c r="C158">
        <v>177502</v>
      </c>
      <c r="D158" t="s">
        <v>1449</v>
      </c>
    </row>
    <row r="159" spans="1:4" ht="15" customHeight="1" x14ac:dyDescent="0.25">
      <c r="A159">
        <v>177600</v>
      </c>
      <c r="B159" t="s">
        <v>1587</v>
      </c>
      <c r="C159">
        <v>177600</v>
      </c>
      <c r="D159" t="s">
        <v>1449</v>
      </c>
    </row>
    <row r="160" spans="1:4" ht="15" customHeight="1" x14ac:dyDescent="0.25">
      <c r="A160">
        <v>177700</v>
      </c>
      <c r="B160" t="s">
        <v>1588</v>
      </c>
      <c r="C160">
        <v>177700</v>
      </c>
      <c r="D160" t="s">
        <v>1449</v>
      </c>
    </row>
    <row r="161" spans="1:4" x14ac:dyDescent="0.25">
      <c r="A161">
        <v>177800</v>
      </c>
      <c r="B161" t="s">
        <v>1589</v>
      </c>
      <c r="C161">
        <v>177800</v>
      </c>
      <c r="D161" t="s">
        <v>1449</v>
      </c>
    </row>
    <row r="162" spans="1:4" x14ac:dyDescent="0.25">
      <c r="A162">
        <v>177801</v>
      </c>
      <c r="B162" t="s">
        <v>1590</v>
      </c>
      <c r="C162">
        <v>177801</v>
      </c>
      <c r="D162" t="s">
        <v>1449</v>
      </c>
    </row>
    <row r="163" spans="1:4" x14ac:dyDescent="0.25">
      <c r="A163">
        <v>177900</v>
      </c>
      <c r="B163" t="s">
        <v>1591</v>
      </c>
      <c r="C163">
        <v>177900</v>
      </c>
      <c r="D163" t="s">
        <v>1449</v>
      </c>
    </row>
    <row r="164" spans="1:4" x14ac:dyDescent="0.25">
      <c r="A164">
        <v>178000</v>
      </c>
      <c r="B164" t="s">
        <v>1592</v>
      </c>
      <c r="C164">
        <v>178000</v>
      </c>
      <c r="D164" t="s">
        <v>1449</v>
      </c>
    </row>
    <row r="165" spans="1:4" x14ac:dyDescent="0.25">
      <c r="A165">
        <v>178100</v>
      </c>
      <c r="B165" t="s">
        <v>1593</v>
      </c>
      <c r="C165">
        <v>178100</v>
      </c>
      <c r="D165" t="s">
        <v>1449</v>
      </c>
    </row>
    <row r="166" spans="1:4" x14ac:dyDescent="0.25">
      <c r="A166">
        <v>178200</v>
      </c>
      <c r="B166" t="s">
        <v>1594</v>
      </c>
      <c r="C166">
        <v>178200</v>
      </c>
      <c r="D166" t="s">
        <v>1449</v>
      </c>
    </row>
    <row r="167" spans="1:4" x14ac:dyDescent="0.25">
      <c r="A167">
        <v>178300</v>
      </c>
      <c r="B167" t="s">
        <v>1595</v>
      </c>
      <c r="C167">
        <v>178300</v>
      </c>
      <c r="D167" t="s">
        <v>1449</v>
      </c>
    </row>
    <row r="168" spans="1:4" x14ac:dyDescent="0.25">
      <c r="A168">
        <v>181100</v>
      </c>
      <c r="B168" t="s">
        <v>1596</v>
      </c>
      <c r="C168">
        <v>181100</v>
      </c>
      <c r="D168" t="s">
        <v>1449</v>
      </c>
    </row>
    <row r="169" spans="1:4" x14ac:dyDescent="0.25">
      <c r="A169">
        <v>181101</v>
      </c>
      <c r="B169" t="s">
        <v>1597</v>
      </c>
      <c r="C169">
        <v>181101</v>
      </c>
      <c r="D169" t="s">
        <v>1449</v>
      </c>
    </row>
    <row r="170" spans="1:4" x14ac:dyDescent="0.25">
      <c r="A170">
        <v>181102</v>
      </c>
      <c r="B170" t="s">
        <v>1598</v>
      </c>
      <c r="C170">
        <v>181102</v>
      </c>
      <c r="D170" t="s">
        <v>1449</v>
      </c>
    </row>
    <row r="171" spans="1:4" x14ac:dyDescent="0.25">
      <c r="A171">
        <v>181103</v>
      </c>
      <c r="B171" t="s">
        <v>1599</v>
      </c>
      <c r="C171">
        <v>181103</v>
      </c>
      <c r="D171" t="s">
        <v>1449</v>
      </c>
    </row>
    <row r="172" spans="1:4" x14ac:dyDescent="0.25">
      <c r="A172">
        <v>181200</v>
      </c>
      <c r="B172" t="s">
        <v>1600</v>
      </c>
      <c r="C172">
        <v>181200</v>
      </c>
      <c r="D172" t="s">
        <v>1449</v>
      </c>
    </row>
    <row r="173" spans="1:4" x14ac:dyDescent="0.25">
      <c r="A173">
        <v>181300</v>
      </c>
      <c r="B173" t="s">
        <v>1601</v>
      </c>
      <c r="C173">
        <v>181300</v>
      </c>
      <c r="D173" t="s">
        <v>1449</v>
      </c>
    </row>
    <row r="174" spans="1:4" x14ac:dyDescent="0.25">
      <c r="A174">
        <v>181400</v>
      </c>
      <c r="B174" t="s">
        <v>1602</v>
      </c>
      <c r="C174">
        <v>181400</v>
      </c>
      <c r="D174" t="s">
        <v>1449</v>
      </c>
    </row>
    <row r="175" spans="1:4" x14ac:dyDescent="0.25">
      <c r="A175">
        <v>183000</v>
      </c>
      <c r="B175" t="s">
        <v>1603</v>
      </c>
      <c r="C175">
        <v>183000</v>
      </c>
      <c r="D175" t="s">
        <v>1449</v>
      </c>
    </row>
    <row r="176" spans="1:4" ht="15" customHeight="1" x14ac:dyDescent="0.25">
      <c r="A176">
        <v>183001</v>
      </c>
      <c r="B176" t="s">
        <v>1604</v>
      </c>
      <c r="C176">
        <v>183001</v>
      </c>
      <c r="D176" t="s">
        <v>1449</v>
      </c>
    </row>
    <row r="177" spans="1:4" x14ac:dyDescent="0.25">
      <c r="A177">
        <v>183002</v>
      </c>
      <c r="B177" t="s">
        <v>1605</v>
      </c>
      <c r="C177">
        <v>183002</v>
      </c>
      <c r="D177" t="s">
        <v>1449</v>
      </c>
    </row>
    <row r="178" spans="1:4" x14ac:dyDescent="0.25">
      <c r="A178">
        <v>183003</v>
      </c>
      <c r="B178" t="s">
        <v>1606</v>
      </c>
      <c r="C178">
        <v>183003</v>
      </c>
      <c r="D178" t="s">
        <v>1449</v>
      </c>
    </row>
    <row r="179" spans="1:4" x14ac:dyDescent="0.25">
      <c r="A179">
        <v>183100</v>
      </c>
      <c r="B179" t="s">
        <v>1607</v>
      </c>
      <c r="C179">
        <v>183100</v>
      </c>
      <c r="D179" t="s">
        <v>1449</v>
      </c>
    </row>
    <row r="180" spans="1:4" x14ac:dyDescent="0.25">
      <c r="A180">
        <v>184100</v>
      </c>
      <c r="B180" t="s">
        <v>1608</v>
      </c>
      <c r="C180">
        <v>184100</v>
      </c>
      <c r="D180" t="s">
        <v>446</v>
      </c>
    </row>
    <row r="181" spans="1:4" x14ac:dyDescent="0.25">
      <c r="A181">
        <v>184200</v>
      </c>
      <c r="B181" t="s">
        <v>1609</v>
      </c>
      <c r="C181">
        <v>184200</v>
      </c>
      <c r="D181" t="s">
        <v>446</v>
      </c>
    </row>
    <row r="182" spans="1:4" x14ac:dyDescent="0.25">
      <c r="A182">
        <v>200100</v>
      </c>
      <c r="B182" t="s">
        <v>1610</v>
      </c>
      <c r="C182">
        <v>200100</v>
      </c>
      <c r="D182" t="s">
        <v>1439</v>
      </c>
    </row>
    <row r="183" spans="1:4" x14ac:dyDescent="0.25">
      <c r="A183">
        <v>200200</v>
      </c>
      <c r="B183" t="s">
        <v>1611</v>
      </c>
      <c r="C183">
        <v>200200</v>
      </c>
      <c r="D183" t="s">
        <v>1439</v>
      </c>
    </row>
    <row r="184" spans="1:4" x14ac:dyDescent="0.25">
      <c r="A184">
        <v>200300</v>
      </c>
      <c r="B184" t="s">
        <v>1612</v>
      </c>
      <c r="C184">
        <v>200300</v>
      </c>
      <c r="D184" t="s">
        <v>1439</v>
      </c>
    </row>
    <row r="185" spans="1:4" ht="15" customHeight="1" x14ac:dyDescent="0.25">
      <c r="A185">
        <v>201100</v>
      </c>
      <c r="B185" t="s">
        <v>1613</v>
      </c>
      <c r="C185">
        <v>201100</v>
      </c>
      <c r="D185" t="s">
        <v>1439</v>
      </c>
    </row>
    <row r="186" spans="1:4" ht="15" customHeight="1" x14ac:dyDescent="0.25">
      <c r="A186">
        <v>202100</v>
      </c>
      <c r="B186" t="s">
        <v>1614</v>
      </c>
      <c r="C186">
        <v>202100</v>
      </c>
      <c r="D186" t="s">
        <v>1439</v>
      </c>
    </row>
    <row r="187" spans="1:4" x14ac:dyDescent="0.25">
      <c r="A187">
        <v>202200</v>
      </c>
      <c r="B187" t="s">
        <v>1615</v>
      </c>
      <c r="C187">
        <v>202200</v>
      </c>
      <c r="D187" t="s">
        <v>1439</v>
      </c>
    </row>
    <row r="188" spans="1:4" x14ac:dyDescent="0.25">
      <c r="A188">
        <v>203000</v>
      </c>
      <c r="B188" t="s">
        <v>1616</v>
      </c>
      <c r="C188">
        <v>203000</v>
      </c>
      <c r="D188" t="s">
        <v>1439</v>
      </c>
    </row>
    <row r="189" spans="1:4" x14ac:dyDescent="0.25">
      <c r="A189">
        <v>204100</v>
      </c>
      <c r="B189" t="s">
        <v>1617</v>
      </c>
      <c r="C189">
        <v>204100</v>
      </c>
      <c r="D189" t="s">
        <v>1439</v>
      </c>
    </row>
    <row r="190" spans="1:4" x14ac:dyDescent="0.25">
      <c r="A190">
        <v>204200</v>
      </c>
      <c r="B190" t="s">
        <v>1618</v>
      </c>
      <c r="C190">
        <v>204200</v>
      </c>
      <c r="D190" t="s">
        <v>1439</v>
      </c>
    </row>
    <row r="191" spans="1:4" x14ac:dyDescent="0.25">
      <c r="A191">
        <v>204300</v>
      </c>
      <c r="B191" t="s">
        <v>1619</v>
      </c>
      <c r="C191">
        <v>204300</v>
      </c>
      <c r="D191" t="s">
        <v>1439</v>
      </c>
    </row>
    <row r="192" spans="1:4" x14ac:dyDescent="0.25">
      <c r="A192">
        <v>204400</v>
      </c>
      <c r="B192" t="s">
        <v>1620</v>
      </c>
      <c r="C192">
        <v>204400</v>
      </c>
      <c r="D192" t="s">
        <v>1439</v>
      </c>
    </row>
    <row r="193" spans="1:4" x14ac:dyDescent="0.25">
      <c r="A193">
        <v>205100</v>
      </c>
      <c r="B193" t="s">
        <v>1621</v>
      </c>
      <c r="C193">
        <v>205100</v>
      </c>
      <c r="D193" t="s">
        <v>1439</v>
      </c>
    </row>
    <row r="194" spans="1:4" x14ac:dyDescent="0.25">
      <c r="A194">
        <v>205200</v>
      </c>
      <c r="B194" t="s">
        <v>1622</v>
      </c>
      <c r="C194">
        <v>205200</v>
      </c>
      <c r="D194" t="s">
        <v>1439</v>
      </c>
    </row>
    <row r="195" spans="1:4" x14ac:dyDescent="0.25">
      <c r="A195">
        <v>206000</v>
      </c>
      <c r="B195" t="s">
        <v>1623</v>
      </c>
      <c r="C195">
        <v>206000</v>
      </c>
      <c r="D195" t="s">
        <v>1439</v>
      </c>
    </row>
    <row r="196" spans="1:4" x14ac:dyDescent="0.25">
      <c r="A196">
        <v>207000</v>
      </c>
      <c r="B196" t="s">
        <v>1624</v>
      </c>
      <c r="C196">
        <v>207000</v>
      </c>
      <c r="D196" t="s">
        <v>1439</v>
      </c>
    </row>
    <row r="197" spans="1:4" x14ac:dyDescent="0.25">
      <c r="A197">
        <v>208100</v>
      </c>
      <c r="B197" t="s">
        <v>1625</v>
      </c>
      <c r="C197">
        <v>208100</v>
      </c>
      <c r="D197" t="s">
        <v>1439</v>
      </c>
    </row>
    <row r="198" spans="1:4" x14ac:dyDescent="0.25">
      <c r="A198">
        <v>208200</v>
      </c>
      <c r="B198" t="s">
        <v>1626</v>
      </c>
      <c r="C198">
        <v>208200</v>
      </c>
      <c r="D198" t="s">
        <v>1439</v>
      </c>
    </row>
    <row r="199" spans="1:4" x14ac:dyDescent="0.25">
      <c r="A199">
        <v>209000</v>
      </c>
      <c r="B199" t="s">
        <v>1627</v>
      </c>
      <c r="C199">
        <v>209000</v>
      </c>
      <c r="D199" t="s">
        <v>1439</v>
      </c>
    </row>
    <row r="200" spans="1:4" x14ac:dyDescent="0.25">
      <c r="A200">
        <v>209000</v>
      </c>
      <c r="B200" t="s">
        <v>1628</v>
      </c>
      <c r="C200">
        <v>209000</v>
      </c>
      <c r="D200" t="s">
        <v>1439</v>
      </c>
    </row>
    <row r="201" spans="1:4" x14ac:dyDescent="0.25">
      <c r="A201">
        <v>210000</v>
      </c>
      <c r="B201" t="s">
        <v>1629</v>
      </c>
      <c r="C201">
        <v>210000</v>
      </c>
      <c r="D201" t="s">
        <v>1439</v>
      </c>
    </row>
    <row r="202" spans="1:4" x14ac:dyDescent="0.25">
      <c r="A202">
        <v>211000</v>
      </c>
      <c r="B202" t="s">
        <v>1630</v>
      </c>
      <c r="C202">
        <v>211000</v>
      </c>
      <c r="D202" t="s">
        <v>1439</v>
      </c>
    </row>
    <row r="203" spans="1:4" x14ac:dyDescent="0.25">
      <c r="A203">
        <v>229100</v>
      </c>
      <c r="B203" t="s">
        <v>1631</v>
      </c>
      <c r="C203">
        <v>229100</v>
      </c>
      <c r="D203" t="s">
        <v>1439</v>
      </c>
    </row>
    <row r="204" spans="1:4" x14ac:dyDescent="0.25">
      <c r="A204">
        <v>229200</v>
      </c>
      <c r="B204" t="s">
        <v>1632</v>
      </c>
      <c r="C204">
        <v>229200</v>
      </c>
      <c r="D204" t="s">
        <v>1439</v>
      </c>
    </row>
    <row r="205" spans="1:4" x14ac:dyDescent="0.25">
      <c r="A205">
        <v>230000</v>
      </c>
      <c r="B205" t="s">
        <v>1633</v>
      </c>
      <c r="C205">
        <v>230000</v>
      </c>
      <c r="D205" t="s">
        <v>1439</v>
      </c>
    </row>
    <row r="206" spans="1:4" x14ac:dyDescent="0.25">
      <c r="A206">
        <v>231000</v>
      </c>
      <c r="B206" t="s">
        <v>1634</v>
      </c>
      <c r="C206">
        <v>231000</v>
      </c>
      <c r="D206" t="s">
        <v>1439</v>
      </c>
    </row>
    <row r="207" spans="1:4" x14ac:dyDescent="0.25">
      <c r="A207">
        <v>231100</v>
      </c>
      <c r="B207" t="s">
        <v>1635</v>
      </c>
      <c r="C207">
        <v>231100</v>
      </c>
      <c r="D207" t="s">
        <v>1439</v>
      </c>
    </row>
    <row r="208" spans="1:4" x14ac:dyDescent="0.25">
      <c r="A208">
        <v>233000</v>
      </c>
      <c r="B208" t="s">
        <v>1636</v>
      </c>
      <c r="C208">
        <v>233000</v>
      </c>
      <c r="D208" t="s">
        <v>1439</v>
      </c>
    </row>
    <row r="209" spans="1:4" x14ac:dyDescent="0.25">
      <c r="A209">
        <v>233100</v>
      </c>
      <c r="B209" t="s">
        <v>1637</v>
      </c>
      <c r="C209">
        <v>233100</v>
      </c>
      <c r="D209" t="s">
        <v>1439</v>
      </c>
    </row>
    <row r="210" spans="1:4" x14ac:dyDescent="0.25">
      <c r="A210">
        <v>233200</v>
      </c>
      <c r="B210" t="s">
        <v>1638</v>
      </c>
      <c r="C210">
        <v>233200</v>
      </c>
      <c r="D210" t="s">
        <v>1439</v>
      </c>
    </row>
    <row r="211" spans="1:4" ht="15" customHeight="1" x14ac:dyDescent="0.25">
      <c r="A211">
        <v>235100</v>
      </c>
      <c r="B211" t="s">
        <v>1639</v>
      </c>
      <c r="C211">
        <v>235100</v>
      </c>
      <c r="D211" t="s">
        <v>1439</v>
      </c>
    </row>
    <row r="212" spans="1:4" ht="15" customHeight="1" x14ac:dyDescent="0.25">
      <c r="A212">
        <v>235200</v>
      </c>
      <c r="B212" t="s">
        <v>1640</v>
      </c>
      <c r="C212">
        <v>235200</v>
      </c>
      <c r="D212" t="s">
        <v>1439</v>
      </c>
    </row>
    <row r="213" spans="1:4" ht="15" customHeight="1" x14ac:dyDescent="0.25">
      <c r="A213">
        <v>235300</v>
      </c>
      <c r="B213" t="s">
        <v>1641</v>
      </c>
      <c r="C213">
        <v>235300</v>
      </c>
      <c r="D213" t="s">
        <v>1449</v>
      </c>
    </row>
    <row r="214" spans="1:4" ht="15" customHeight="1" x14ac:dyDescent="0.25">
      <c r="A214">
        <v>242000</v>
      </c>
      <c r="B214" t="s">
        <v>1642</v>
      </c>
      <c r="C214">
        <v>242000</v>
      </c>
      <c r="D214" t="s">
        <v>1439</v>
      </c>
    </row>
    <row r="215" spans="1:4" x14ac:dyDescent="0.25">
      <c r="A215">
        <v>249000</v>
      </c>
      <c r="B215" t="s">
        <v>1643</v>
      </c>
      <c r="C215">
        <v>249000</v>
      </c>
      <c r="D215" t="s">
        <v>1439</v>
      </c>
    </row>
    <row r="216" spans="1:4" ht="15" customHeight="1" x14ac:dyDescent="0.25">
      <c r="A216">
        <v>249100</v>
      </c>
      <c r="B216" t="s">
        <v>1644</v>
      </c>
      <c r="C216">
        <v>249100</v>
      </c>
      <c r="D216" t="s">
        <v>1439</v>
      </c>
    </row>
    <row r="217" spans="1:4" ht="15" customHeight="1" x14ac:dyDescent="0.25">
      <c r="A217">
        <v>249200</v>
      </c>
      <c r="B217" t="s">
        <v>1645</v>
      </c>
      <c r="C217">
        <v>249200</v>
      </c>
      <c r="D217" t="s">
        <v>1439</v>
      </c>
    </row>
    <row r="218" spans="1:4" x14ac:dyDescent="0.25">
      <c r="A218">
        <v>249300</v>
      </c>
      <c r="B218" t="s">
        <v>1646</v>
      </c>
      <c r="C218">
        <v>249300</v>
      </c>
      <c r="D218" t="s">
        <v>1439</v>
      </c>
    </row>
    <row r="219" spans="1:4" x14ac:dyDescent="0.25">
      <c r="A219">
        <v>249400</v>
      </c>
      <c r="B219" t="s">
        <v>1647</v>
      </c>
      <c r="C219">
        <v>249400</v>
      </c>
      <c r="D219" t="s">
        <v>1439</v>
      </c>
    </row>
    <row r="220" spans="1:4" ht="15" customHeight="1" x14ac:dyDescent="0.25">
      <c r="A220">
        <v>249500</v>
      </c>
      <c r="B220" t="s">
        <v>1648</v>
      </c>
      <c r="C220">
        <v>249500</v>
      </c>
      <c r="D220" t="s">
        <v>1439</v>
      </c>
    </row>
    <row r="221" spans="1:4" x14ac:dyDescent="0.25">
      <c r="A221">
        <v>259100</v>
      </c>
      <c r="B221" t="s">
        <v>1649</v>
      </c>
      <c r="C221">
        <v>259100</v>
      </c>
      <c r="D221" t="s">
        <v>1439</v>
      </c>
    </row>
    <row r="222" spans="1:4" x14ac:dyDescent="0.25">
      <c r="A222">
        <v>259200</v>
      </c>
      <c r="B222" t="s">
        <v>1650</v>
      </c>
      <c r="C222">
        <v>259200</v>
      </c>
      <c r="D222" t="s">
        <v>1439</v>
      </c>
    </row>
    <row r="223" spans="1:4" x14ac:dyDescent="0.25">
      <c r="A223">
        <v>262000</v>
      </c>
      <c r="B223" t="s">
        <v>1651</v>
      </c>
      <c r="C223">
        <v>262000</v>
      </c>
      <c r="D223" t="s">
        <v>1439</v>
      </c>
    </row>
    <row r="224" spans="1:4" ht="15" customHeight="1" x14ac:dyDescent="0.25">
      <c r="A224">
        <v>263100</v>
      </c>
      <c r="B224" t="s">
        <v>1652</v>
      </c>
      <c r="C224">
        <v>263100</v>
      </c>
      <c r="D224" t="s">
        <v>1439</v>
      </c>
    </row>
    <row r="225" spans="1:4" x14ac:dyDescent="0.25">
      <c r="A225">
        <v>263200</v>
      </c>
      <c r="B225" t="s">
        <v>1653</v>
      </c>
      <c r="C225">
        <v>263200</v>
      </c>
      <c r="D225" t="s">
        <v>1439</v>
      </c>
    </row>
    <row r="226" spans="1:4" ht="15" customHeight="1" x14ac:dyDescent="0.25">
      <c r="A226">
        <v>263300</v>
      </c>
      <c r="B226" t="s">
        <v>1654</v>
      </c>
      <c r="C226">
        <v>263300</v>
      </c>
      <c r="D226" t="s">
        <v>1439</v>
      </c>
    </row>
    <row r="227" spans="1:4" x14ac:dyDescent="0.25">
      <c r="A227">
        <v>271000</v>
      </c>
      <c r="B227" t="s">
        <v>1655</v>
      </c>
      <c r="C227">
        <v>271000</v>
      </c>
      <c r="D227" t="s">
        <v>1439</v>
      </c>
    </row>
    <row r="228" spans="1:4" x14ac:dyDescent="0.25">
      <c r="A228">
        <v>275000</v>
      </c>
      <c r="B228" t="s">
        <v>1656</v>
      </c>
      <c r="C228">
        <v>275000</v>
      </c>
      <c r="D228" t="s">
        <v>1439</v>
      </c>
    </row>
    <row r="229" spans="1:4" x14ac:dyDescent="0.25">
      <c r="A229">
        <v>281100</v>
      </c>
      <c r="B229" t="s">
        <v>1657</v>
      </c>
      <c r="C229">
        <v>281100</v>
      </c>
      <c r="D229" t="s">
        <v>1439</v>
      </c>
    </row>
    <row r="230" spans="1:4" x14ac:dyDescent="0.25">
      <c r="A230">
        <v>281200</v>
      </c>
      <c r="B230" t="s">
        <v>1658</v>
      </c>
      <c r="C230">
        <v>281200</v>
      </c>
      <c r="D230" t="s">
        <v>1439</v>
      </c>
    </row>
    <row r="231" spans="1:4" ht="15" customHeight="1" x14ac:dyDescent="0.25">
      <c r="A231">
        <v>281300</v>
      </c>
      <c r="B231" t="s">
        <v>1659</v>
      </c>
      <c r="C231">
        <v>281300</v>
      </c>
      <c r="D231" t="s">
        <v>1439</v>
      </c>
    </row>
    <row r="232" spans="1:4" x14ac:dyDescent="0.25">
      <c r="A232">
        <v>281400</v>
      </c>
      <c r="B232" t="s">
        <v>1660</v>
      </c>
      <c r="C232">
        <v>281400</v>
      </c>
      <c r="D232" t="s">
        <v>1439</v>
      </c>
    </row>
    <row r="233" spans="1:4" x14ac:dyDescent="0.25">
      <c r="A233">
        <v>281500</v>
      </c>
      <c r="B233" t="s">
        <v>1661</v>
      </c>
      <c r="C233">
        <v>281500</v>
      </c>
      <c r="D233" t="s">
        <v>1439</v>
      </c>
    </row>
    <row r="234" spans="1:4" x14ac:dyDescent="0.25">
      <c r="A234">
        <v>281600</v>
      </c>
      <c r="B234" t="s">
        <v>1662</v>
      </c>
      <c r="C234">
        <v>281600</v>
      </c>
      <c r="D234" t="s">
        <v>1439</v>
      </c>
    </row>
    <row r="235" spans="1:4" x14ac:dyDescent="0.25">
      <c r="A235">
        <v>281700</v>
      </c>
      <c r="B235" t="s">
        <v>1663</v>
      </c>
      <c r="C235">
        <v>281700</v>
      </c>
      <c r="D235" t="s">
        <v>1439</v>
      </c>
    </row>
    <row r="236" spans="1:4" x14ac:dyDescent="0.25">
      <c r="A236">
        <v>282000</v>
      </c>
      <c r="B236" t="s">
        <v>1664</v>
      </c>
      <c r="C236">
        <v>282000</v>
      </c>
      <c r="D236" t="s">
        <v>1439</v>
      </c>
    </row>
    <row r="237" spans="1:4" ht="15" customHeight="1" x14ac:dyDescent="0.25">
      <c r="A237">
        <v>283200</v>
      </c>
      <c r="B237" t="s">
        <v>1665</v>
      </c>
      <c r="C237">
        <v>283200</v>
      </c>
      <c r="D237" t="s">
        <v>1439</v>
      </c>
    </row>
    <row r="238" spans="1:4" ht="15" customHeight="1" x14ac:dyDescent="0.25">
      <c r="A238">
        <v>283300</v>
      </c>
      <c r="B238" t="s">
        <v>1666</v>
      </c>
      <c r="C238">
        <v>283300</v>
      </c>
      <c r="D238" t="s">
        <v>1439</v>
      </c>
    </row>
    <row r="239" spans="1:4" ht="15" customHeight="1" x14ac:dyDescent="0.25">
      <c r="A239">
        <v>283400</v>
      </c>
      <c r="B239" t="s">
        <v>1667</v>
      </c>
      <c r="C239">
        <v>283400</v>
      </c>
      <c r="D239" t="s">
        <v>1439</v>
      </c>
    </row>
    <row r="240" spans="1:4" ht="15" customHeight="1" x14ac:dyDescent="0.25">
      <c r="A240">
        <v>283500</v>
      </c>
      <c r="B240" t="s">
        <v>1668</v>
      </c>
      <c r="C240">
        <v>283500</v>
      </c>
      <c r="D240" t="s">
        <v>1439</v>
      </c>
    </row>
    <row r="241" spans="1:4" ht="15" customHeight="1" x14ac:dyDescent="0.25">
      <c r="A241">
        <v>284000</v>
      </c>
      <c r="B241" t="s">
        <v>1669</v>
      </c>
      <c r="C241">
        <v>284000</v>
      </c>
      <c r="D241" t="s">
        <v>1439</v>
      </c>
    </row>
    <row r="242" spans="1:4" ht="15" customHeight="1" x14ac:dyDescent="0.25">
      <c r="A242">
        <v>285001</v>
      </c>
      <c r="B242" t="s">
        <v>1670</v>
      </c>
      <c r="C242">
        <v>285001</v>
      </c>
      <c r="D242" t="s">
        <v>1439</v>
      </c>
    </row>
    <row r="243" spans="1:4" x14ac:dyDescent="0.25">
      <c r="A243">
        <v>285002</v>
      </c>
      <c r="B243" t="s">
        <v>1671</v>
      </c>
      <c r="C243">
        <v>285002</v>
      </c>
      <c r="D243" t="s">
        <v>1439</v>
      </c>
    </row>
    <row r="244" spans="1:4" ht="15" customHeight="1" x14ac:dyDescent="0.25">
      <c r="A244">
        <v>286002</v>
      </c>
      <c r="B244" t="s">
        <v>1672</v>
      </c>
      <c r="C244">
        <v>286002</v>
      </c>
      <c r="D244" t="s">
        <v>1439</v>
      </c>
    </row>
    <row r="245" spans="1:4" x14ac:dyDescent="0.25">
      <c r="A245">
        <v>286002</v>
      </c>
      <c r="B245" t="s">
        <v>1673</v>
      </c>
      <c r="C245">
        <v>286002</v>
      </c>
      <c r="D245" t="s">
        <v>1439</v>
      </c>
    </row>
    <row r="246" spans="1:4" ht="15" customHeight="1" x14ac:dyDescent="0.25">
      <c r="A246">
        <v>287200</v>
      </c>
      <c r="B246" t="s">
        <v>1674</v>
      </c>
      <c r="C246">
        <v>287200</v>
      </c>
      <c r="D246" t="s">
        <v>1439</v>
      </c>
    </row>
    <row r="247" spans="1:4" ht="15" customHeight="1" x14ac:dyDescent="0.25">
      <c r="A247">
        <v>287300</v>
      </c>
      <c r="B247" t="s">
        <v>1675</v>
      </c>
      <c r="C247">
        <v>287300</v>
      </c>
      <c r="D247" t="s">
        <v>1439</v>
      </c>
    </row>
    <row r="248" spans="1:4" ht="15" customHeight="1" x14ac:dyDescent="0.25">
      <c r="A248">
        <v>287500</v>
      </c>
      <c r="B248" t="s">
        <v>1676</v>
      </c>
      <c r="C248">
        <v>287500</v>
      </c>
      <c r="D248" t="s">
        <v>1439</v>
      </c>
    </row>
    <row r="249" spans="1:4" ht="15" customHeight="1" x14ac:dyDescent="0.25">
      <c r="A249">
        <v>287600</v>
      </c>
      <c r="B249" t="s">
        <v>1677</v>
      </c>
      <c r="C249">
        <v>287600</v>
      </c>
      <c r="D249" t="s">
        <v>1439</v>
      </c>
    </row>
    <row r="250" spans="1:4" ht="15" customHeight="1" x14ac:dyDescent="0.25">
      <c r="A250">
        <v>287700</v>
      </c>
      <c r="B250" t="s">
        <v>1678</v>
      </c>
      <c r="C250">
        <v>287700</v>
      </c>
      <c r="D250" t="s">
        <v>1439</v>
      </c>
    </row>
    <row r="251" spans="1:4" ht="15" customHeight="1" x14ac:dyDescent="0.25">
      <c r="A251">
        <v>295000</v>
      </c>
      <c r="B251" t="s">
        <v>1679</v>
      </c>
      <c r="C251">
        <v>295000</v>
      </c>
      <c r="D251" t="s">
        <v>1439</v>
      </c>
    </row>
    <row r="252" spans="1:4" ht="15" customHeight="1" x14ac:dyDescent="0.25">
      <c r="A252">
        <v>298100</v>
      </c>
      <c r="B252" t="s">
        <v>1680</v>
      </c>
      <c r="C252">
        <v>298100</v>
      </c>
      <c r="D252" t="s">
        <v>1439</v>
      </c>
    </row>
    <row r="253" spans="1:4" ht="15" customHeight="1" x14ac:dyDescent="0.25">
      <c r="A253">
        <v>298200</v>
      </c>
      <c r="B253" t="s">
        <v>1681</v>
      </c>
      <c r="C253">
        <v>298200</v>
      </c>
      <c r="D253" t="s">
        <v>1439</v>
      </c>
    </row>
    <row r="254" spans="1:4" ht="15" customHeight="1" x14ac:dyDescent="0.25">
      <c r="A254">
        <v>299000</v>
      </c>
      <c r="B254" t="s">
        <v>1682</v>
      </c>
      <c r="C254">
        <v>299000</v>
      </c>
      <c r="D254" t="s">
        <v>1439</v>
      </c>
    </row>
    <row r="255" spans="1:4" ht="15" customHeight="1" x14ac:dyDescent="0.25">
      <c r="A255">
        <v>306200</v>
      </c>
      <c r="B255" t="s">
        <v>1683</v>
      </c>
      <c r="C255">
        <v>306200</v>
      </c>
      <c r="D255" t="s">
        <v>1439</v>
      </c>
    </row>
    <row r="256" spans="1:4" ht="15" customHeight="1" x14ac:dyDescent="0.25">
      <c r="A256">
        <v>306300</v>
      </c>
      <c r="B256" t="s">
        <v>1684</v>
      </c>
      <c r="C256">
        <v>306300</v>
      </c>
      <c r="D256" t="s">
        <v>1439</v>
      </c>
    </row>
    <row r="257" spans="1:4" ht="15" customHeight="1" x14ac:dyDescent="0.25">
      <c r="A257">
        <v>306400</v>
      </c>
      <c r="B257" t="s">
        <v>1685</v>
      </c>
      <c r="C257">
        <v>306400</v>
      </c>
      <c r="D257" t="s">
        <v>1439</v>
      </c>
    </row>
    <row r="258" spans="1:4" ht="15" customHeight="1" x14ac:dyDescent="0.25">
      <c r="A258">
        <v>306500</v>
      </c>
      <c r="B258" t="s">
        <v>1686</v>
      </c>
      <c r="C258">
        <v>306500</v>
      </c>
      <c r="D258" t="s">
        <v>1439</v>
      </c>
    </row>
    <row r="259" spans="1:4" ht="15" customHeight="1" x14ac:dyDescent="0.25">
      <c r="A259">
        <v>306600</v>
      </c>
      <c r="B259" t="s">
        <v>1687</v>
      </c>
      <c r="C259">
        <v>306600</v>
      </c>
      <c r="D259" t="s">
        <v>1439</v>
      </c>
    </row>
    <row r="260" spans="1:4" ht="15" customHeight="1" x14ac:dyDescent="0.25">
      <c r="A260">
        <v>307100</v>
      </c>
      <c r="B260" t="s">
        <v>1688</v>
      </c>
      <c r="C260">
        <v>307100</v>
      </c>
      <c r="D260" t="s">
        <v>1439</v>
      </c>
    </row>
    <row r="261" spans="1:4" ht="15" customHeight="1" x14ac:dyDescent="0.25">
      <c r="A261">
        <v>307200</v>
      </c>
      <c r="B261" t="s">
        <v>1689</v>
      </c>
      <c r="C261">
        <v>307200</v>
      </c>
      <c r="D261" t="s">
        <v>1439</v>
      </c>
    </row>
    <row r="262" spans="1:4" ht="15" customHeight="1" x14ac:dyDescent="0.25">
      <c r="A262">
        <v>307300</v>
      </c>
      <c r="B262" t="s">
        <v>1690</v>
      </c>
      <c r="C262">
        <v>307300</v>
      </c>
      <c r="D262" t="s">
        <v>1439</v>
      </c>
    </row>
    <row r="263" spans="1:4" ht="15" customHeight="1" x14ac:dyDescent="0.25">
      <c r="A263">
        <v>319100</v>
      </c>
      <c r="B263" t="s">
        <v>1691</v>
      </c>
      <c r="C263">
        <v>319100</v>
      </c>
      <c r="D263" t="s">
        <v>1439</v>
      </c>
    </row>
    <row r="264" spans="1:4" ht="15" customHeight="1" x14ac:dyDescent="0.25">
      <c r="A264">
        <v>319200</v>
      </c>
      <c r="B264" t="s">
        <v>1692</v>
      </c>
      <c r="C264">
        <v>319200</v>
      </c>
      <c r="D264" t="s">
        <v>1439</v>
      </c>
    </row>
    <row r="265" spans="1:4" ht="15" customHeight="1" x14ac:dyDescent="0.25">
      <c r="A265">
        <v>319300</v>
      </c>
      <c r="B265" t="s">
        <v>1693</v>
      </c>
      <c r="C265">
        <v>319300</v>
      </c>
      <c r="D265" t="s">
        <v>1439</v>
      </c>
    </row>
    <row r="266" spans="1:4" ht="15" customHeight="1" x14ac:dyDescent="0.25">
      <c r="A266">
        <v>328100</v>
      </c>
      <c r="B266" t="s">
        <v>1694</v>
      </c>
      <c r="C266">
        <v>328100</v>
      </c>
      <c r="D266" t="s">
        <v>1439</v>
      </c>
    </row>
    <row r="267" spans="1:4" ht="15" customHeight="1" x14ac:dyDescent="0.25">
      <c r="A267">
        <v>328200</v>
      </c>
      <c r="B267" t="s">
        <v>1695</v>
      </c>
      <c r="C267">
        <v>328200</v>
      </c>
      <c r="D267" t="s">
        <v>1439</v>
      </c>
    </row>
    <row r="268" spans="1:4" ht="15" customHeight="1" x14ac:dyDescent="0.25">
      <c r="A268">
        <v>329100</v>
      </c>
      <c r="B268" t="s">
        <v>1696</v>
      </c>
      <c r="C268">
        <v>329100</v>
      </c>
      <c r="D268" t="s">
        <v>1439</v>
      </c>
    </row>
    <row r="269" spans="1:4" ht="15" customHeight="1" x14ac:dyDescent="0.25">
      <c r="A269">
        <v>329200</v>
      </c>
      <c r="B269" t="s">
        <v>1697</v>
      </c>
      <c r="C269">
        <v>329200</v>
      </c>
      <c r="D269" t="s">
        <v>1439</v>
      </c>
    </row>
    <row r="270" spans="1:4" ht="15" customHeight="1" x14ac:dyDescent="0.25">
      <c r="A270">
        <v>329300</v>
      </c>
      <c r="B270" t="s">
        <v>1698</v>
      </c>
      <c r="C270">
        <v>329300</v>
      </c>
      <c r="D270" t="s">
        <v>1439</v>
      </c>
    </row>
    <row r="271" spans="1:4" ht="15" customHeight="1" x14ac:dyDescent="0.25">
      <c r="A271">
        <v>329400</v>
      </c>
      <c r="B271" t="s">
        <v>1699</v>
      </c>
      <c r="C271">
        <v>329400</v>
      </c>
      <c r="D271" t="s">
        <v>1439</v>
      </c>
    </row>
    <row r="272" spans="1:4" ht="15" customHeight="1" x14ac:dyDescent="0.25">
      <c r="A272">
        <v>329500</v>
      </c>
      <c r="B272" t="s">
        <v>1700</v>
      </c>
      <c r="C272">
        <v>329500</v>
      </c>
      <c r="D272" t="s">
        <v>1439</v>
      </c>
    </row>
    <row r="273" spans="1:4" ht="15" customHeight="1" x14ac:dyDescent="0.25">
      <c r="A273">
        <v>329600</v>
      </c>
      <c r="B273" t="s">
        <v>1701</v>
      </c>
      <c r="C273">
        <v>329600</v>
      </c>
      <c r="D273" t="s">
        <v>1439</v>
      </c>
    </row>
    <row r="274" spans="1:4" ht="15" customHeight="1" x14ac:dyDescent="0.25">
      <c r="A274">
        <v>329700</v>
      </c>
      <c r="B274" t="s">
        <v>1702</v>
      </c>
      <c r="C274">
        <v>329700</v>
      </c>
      <c r="D274" t="s">
        <v>1439</v>
      </c>
    </row>
    <row r="275" spans="1:4" ht="15" customHeight="1" x14ac:dyDescent="0.25">
      <c r="A275">
        <v>329800</v>
      </c>
      <c r="B275" t="s">
        <v>1703</v>
      </c>
      <c r="C275">
        <v>329800</v>
      </c>
      <c r="D275" t="s">
        <v>1439</v>
      </c>
    </row>
    <row r="276" spans="1:4" ht="15" customHeight="1" x14ac:dyDescent="0.25">
      <c r="A276">
        <v>332000</v>
      </c>
      <c r="B276" t="s">
        <v>1704</v>
      </c>
      <c r="C276">
        <v>332000</v>
      </c>
      <c r="D276" t="s">
        <v>1439</v>
      </c>
    </row>
    <row r="277" spans="1:4" ht="15" customHeight="1" x14ac:dyDescent="0.25">
      <c r="A277">
        <v>336000</v>
      </c>
      <c r="B277" t="s">
        <v>1705</v>
      </c>
      <c r="C277">
        <v>336000</v>
      </c>
      <c r="D277" t="s">
        <v>1439</v>
      </c>
    </row>
    <row r="278" spans="1:4" ht="15" customHeight="1" x14ac:dyDescent="0.25">
      <c r="A278">
        <v>349100</v>
      </c>
      <c r="B278" t="s">
        <v>1706</v>
      </c>
      <c r="C278">
        <v>349100</v>
      </c>
      <c r="D278" t="s">
        <v>1439</v>
      </c>
    </row>
    <row r="279" spans="1:4" ht="15" customHeight="1" x14ac:dyDescent="0.25">
      <c r="A279">
        <v>349200</v>
      </c>
      <c r="B279" t="s">
        <v>1707</v>
      </c>
      <c r="C279">
        <v>349200</v>
      </c>
      <c r="D279" t="s">
        <v>1439</v>
      </c>
    </row>
    <row r="280" spans="1:4" ht="15" customHeight="1" x14ac:dyDescent="0.25">
      <c r="A280">
        <v>349300</v>
      </c>
      <c r="B280" t="s">
        <v>1708</v>
      </c>
      <c r="C280">
        <v>349300</v>
      </c>
      <c r="D280" t="s">
        <v>1439</v>
      </c>
    </row>
    <row r="281" spans="1:4" ht="15" customHeight="1" x14ac:dyDescent="0.25">
      <c r="A281">
        <v>349400</v>
      </c>
      <c r="B281" t="s">
        <v>1709</v>
      </c>
      <c r="C281">
        <v>349400</v>
      </c>
      <c r="D281" t="s">
        <v>1439</v>
      </c>
    </row>
    <row r="282" spans="1:4" ht="15" customHeight="1" x14ac:dyDescent="0.25">
      <c r="A282">
        <v>349500</v>
      </c>
      <c r="B282" t="s">
        <v>1710</v>
      </c>
      <c r="C282">
        <v>349500</v>
      </c>
      <c r="D282" t="s">
        <v>1439</v>
      </c>
    </row>
    <row r="283" spans="1:4" ht="15" customHeight="1" x14ac:dyDescent="0.25">
      <c r="A283">
        <v>349600</v>
      </c>
      <c r="B283" t="s">
        <v>1711</v>
      </c>
      <c r="C283">
        <v>349600</v>
      </c>
      <c r="D283" t="s">
        <v>1439</v>
      </c>
    </row>
    <row r="284" spans="1:4" ht="15" customHeight="1" x14ac:dyDescent="0.25">
      <c r="A284">
        <v>357000</v>
      </c>
      <c r="B284" t="s">
        <v>1712</v>
      </c>
      <c r="C284">
        <v>357000</v>
      </c>
      <c r="D284" t="s">
        <v>1439</v>
      </c>
    </row>
    <row r="285" spans="1:4" ht="15" customHeight="1" x14ac:dyDescent="0.25">
      <c r="A285">
        <v>357100</v>
      </c>
      <c r="B285" t="s">
        <v>1713</v>
      </c>
      <c r="C285">
        <v>357100</v>
      </c>
      <c r="D285" t="s">
        <v>1439</v>
      </c>
    </row>
    <row r="286" spans="1:4" ht="15" customHeight="1" x14ac:dyDescent="0.25">
      <c r="A286">
        <v>357200</v>
      </c>
      <c r="B286" t="s">
        <v>1714</v>
      </c>
      <c r="C286">
        <v>357200</v>
      </c>
      <c r="D286" t="s">
        <v>1439</v>
      </c>
    </row>
    <row r="287" spans="1:4" ht="15" customHeight="1" x14ac:dyDescent="0.25">
      <c r="A287">
        <v>357300</v>
      </c>
      <c r="B287" t="s">
        <v>1715</v>
      </c>
      <c r="C287">
        <v>357300</v>
      </c>
      <c r="D287" t="s">
        <v>1439</v>
      </c>
    </row>
    <row r="288" spans="1:4" ht="15" customHeight="1" x14ac:dyDescent="0.25">
      <c r="A288">
        <v>357400</v>
      </c>
      <c r="B288" t="s">
        <v>1716</v>
      </c>
      <c r="C288">
        <v>357400</v>
      </c>
      <c r="D288" t="s">
        <v>1439</v>
      </c>
    </row>
    <row r="289" spans="1:4" ht="15" customHeight="1" x14ac:dyDescent="0.25">
      <c r="A289">
        <v>357500</v>
      </c>
      <c r="B289" t="s">
        <v>1717</v>
      </c>
      <c r="C289">
        <v>357500</v>
      </c>
      <c r="D289" t="s">
        <v>1439</v>
      </c>
    </row>
    <row r="290" spans="1:4" ht="15" customHeight="1" x14ac:dyDescent="0.25">
      <c r="A290">
        <v>357601</v>
      </c>
      <c r="B290" t="s">
        <v>1718</v>
      </c>
      <c r="C290">
        <v>357601</v>
      </c>
      <c r="D290" t="s">
        <v>1439</v>
      </c>
    </row>
    <row r="291" spans="1:4" ht="15" customHeight="1" x14ac:dyDescent="0.25">
      <c r="A291">
        <v>357602</v>
      </c>
      <c r="B291" t="s">
        <v>1719</v>
      </c>
      <c r="C291">
        <v>357602</v>
      </c>
      <c r="D291" t="s">
        <v>1439</v>
      </c>
    </row>
    <row r="292" spans="1:4" ht="15" customHeight="1" x14ac:dyDescent="0.25">
      <c r="A292">
        <v>359000</v>
      </c>
      <c r="B292" t="s">
        <v>1720</v>
      </c>
      <c r="C292">
        <v>359000</v>
      </c>
      <c r="D292" t="s">
        <v>1439</v>
      </c>
    </row>
    <row r="293" spans="1:4" ht="15" customHeight="1" x14ac:dyDescent="0.25">
      <c r="A293">
        <v>359100</v>
      </c>
      <c r="B293" t="s">
        <v>1721</v>
      </c>
      <c r="C293">
        <v>359100</v>
      </c>
      <c r="D293" t="s">
        <v>1439</v>
      </c>
    </row>
    <row r="294" spans="1:4" ht="15" customHeight="1" x14ac:dyDescent="0.25">
      <c r="A294">
        <v>359200</v>
      </c>
      <c r="B294" t="s">
        <v>1722</v>
      </c>
      <c r="C294">
        <v>359200</v>
      </c>
      <c r="D294" t="s">
        <v>1439</v>
      </c>
    </row>
    <row r="295" spans="1:4" ht="15" customHeight="1" x14ac:dyDescent="0.25">
      <c r="A295">
        <v>359300</v>
      </c>
      <c r="B295" t="s">
        <v>1723</v>
      </c>
      <c r="C295">
        <v>359300</v>
      </c>
      <c r="D295" t="s">
        <v>1439</v>
      </c>
    </row>
    <row r="296" spans="1:4" ht="15" customHeight="1" x14ac:dyDescent="0.25">
      <c r="A296">
        <v>359400</v>
      </c>
      <c r="B296" t="s">
        <v>1724</v>
      </c>
      <c r="C296">
        <v>359400</v>
      </c>
      <c r="D296" t="s">
        <v>1439</v>
      </c>
    </row>
    <row r="297" spans="1:4" ht="15" customHeight="1" x14ac:dyDescent="0.25">
      <c r="A297">
        <v>359500</v>
      </c>
      <c r="B297" t="s">
        <v>1725</v>
      </c>
      <c r="C297">
        <v>359500</v>
      </c>
      <c r="D297" t="s">
        <v>1439</v>
      </c>
    </row>
    <row r="298" spans="1:4" ht="15" customHeight="1" x14ac:dyDescent="0.25">
      <c r="A298">
        <v>359600</v>
      </c>
      <c r="B298" t="s">
        <v>1726</v>
      </c>
      <c r="C298">
        <v>359600</v>
      </c>
      <c r="D298" t="s">
        <v>1439</v>
      </c>
    </row>
    <row r="299" spans="1:4" ht="15" customHeight="1" x14ac:dyDescent="0.25">
      <c r="A299">
        <v>359700</v>
      </c>
      <c r="B299" t="s">
        <v>1727</v>
      </c>
      <c r="C299">
        <v>359700</v>
      </c>
      <c r="D299" t="s">
        <v>1439</v>
      </c>
    </row>
    <row r="300" spans="1:4" ht="15" customHeight="1" x14ac:dyDescent="0.25">
      <c r="A300">
        <v>369000</v>
      </c>
      <c r="B300" t="s">
        <v>1728</v>
      </c>
      <c r="C300">
        <v>369000</v>
      </c>
      <c r="D300" t="s">
        <v>1439</v>
      </c>
    </row>
    <row r="301" spans="1:4" ht="15" customHeight="1" x14ac:dyDescent="0.25">
      <c r="A301">
        <v>369100</v>
      </c>
      <c r="B301" t="s">
        <v>1729</v>
      </c>
      <c r="C301">
        <v>369100</v>
      </c>
      <c r="D301" t="s">
        <v>1439</v>
      </c>
    </row>
    <row r="302" spans="1:4" ht="15" customHeight="1" x14ac:dyDescent="0.25">
      <c r="A302">
        <v>369300</v>
      </c>
      <c r="B302" t="s">
        <v>1730</v>
      </c>
      <c r="C302">
        <v>369300</v>
      </c>
      <c r="D302" t="s">
        <v>1439</v>
      </c>
    </row>
    <row r="303" spans="1:4" ht="15" customHeight="1" x14ac:dyDescent="0.25">
      <c r="A303">
        <v>369400</v>
      </c>
      <c r="B303" t="s">
        <v>1731</v>
      </c>
      <c r="C303">
        <v>369400</v>
      </c>
      <c r="D303" t="s">
        <v>1439</v>
      </c>
    </row>
    <row r="304" spans="1:4" ht="15" customHeight="1" x14ac:dyDescent="0.25">
      <c r="A304">
        <v>369500</v>
      </c>
      <c r="B304" t="s">
        <v>1732</v>
      </c>
      <c r="C304">
        <v>369500</v>
      </c>
      <c r="D304" t="s">
        <v>1439</v>
      </c>
    </row>
    <row r="305" spans="1:4" ht="15" customHeight="1" x14ac:dyDescent="0.25">
      <c r="A305">
        <v>373000</v>
      </c>
      <c r="B305" t="s">
        <v>1733</v>
      </c>
      <c r="C305">
        <v>373000</v>
      </c>
      <c r="D305" t="s">
        <v>1439</v>
      </c>
    </row>
    <row r="306" spans="1:4" ht="15" customHeight="1" x14ac:dyDescent="0.25">
      <c r="A306">
        <v>379001</v>
      </c>
      <c r="B306" t="s">
        <v>1734</v>
      </c>
      <c r="C306">
        <v>379001</v>
      </c>
      <c r="D306" t="s">
        <v>1439</v>
      </c>
    </row>
    <row r="307" spans="1:4" ht="15" customHeight="1" x14ac:dyDescent="0.25">
      <c r="A307">
        <v>379002</v>
      </c>
      <c r="B307" t="s">
        <v>1735</v>
      </c>
      <c r="C307">
        <v>379002</v>
      </c>
      <c r="D307" t="s">
        <v>1439</v>
      </c>
    </row>
    <row r="308" spans="1:4" ht="15" customHeight="1" x14ac:dyDescent="0.25">
      <c r="A308">
        <v>379100</v>
      </c>
      <c r="B308" t="s">
        <v>1736</v>
      </c>
      <c r="C308">
        <v>379100</v>
      </c>
      <c r="D308" t="s">
        <v>1439</v>
      </c>
    </row>
    <row r="309" spans="1:4" ht="15" customHeight="1" x14ac:dyDescent="0.25">
      <c r="A309">
        <v>379200</v>
      </c>
      <c r="B309" t="s">
        <v>1737</v>
      </c>
      <c r="C309">
        <v>379200</v>
      </c>
      <c r="D309" t="s">
        <v>1439</v>
      </c>
    </row>
    <row r="310" spans="1:4" ht="15" customHeight="1" x14ac:dyDescent="0.25">
      <c r="A310">
        <v>379300</v>
      </c>
      <c r="B310" t="s">
        <v>1738</v>
      </c>
      <c r="C310">
        <v>379300</v>
      </c>
      <c r="D310" t="s">
        <v>1439</v>
      </c>
    </row>
    <row r="311" spans="1:4" ht="15" customHeight="1" x14ac:dyDescent="0.25">
      <c r="A311">
        <v>379400</v>
      </c>
      <c r="B311" t="s">
        <v>1739</v>
      </c>
      <c r="C311">
        <v>379400</v>
      </c>
      <c r="D311" t="s">
        <v>1439</v>
      </c>
    </row>
    <row r="312" spans="1:4" ht="15" customHeight="1" x14ac:dyDescent="0.25">
      <c r="A312">
        <v>379500</v>
      </c>
      <c r="B312" t="s">
        <v>1740</v>
      </c>
      <c r="C312">
        <v>379500</v>
      </c>
      <c r="D312" t="s">
        <v>1439</v>
      </c>
    </row>
    <row r="313" spans="1:4" ht="15" customHeight="1" x14ac:dyDescent="0.25">
      <c r="A313">
        <v>379600</v>
      </c>
      <c r="B313" t="s">
        <v>1741</v>
      </c>
      <c r="C313">
        <v>379600</v>
      </c>
      <c r="D313" t="s">
        <v>1439</v>
      </c>
    </row>
    <row r="314" spans="1:4" ht="15" customHeight="1" x14ac:dyDescent="0.25">
      <c r="A314">
        <v>379700</v>
      </c>
      <c r="B314" t="s">
        <v>1742</v>
      </c>
      <c r="C314">
        <v>379700</v>
      </c>
      <c r="D314" t="s">
        <v>1439</v>
      </c>
    </row>
    <row r="315" spans="1:4" ht="15" customHeight="1" x14ac:dyDescent="0.25">
      <c r="A315">
        <v>379800</v>
      </c>
      <c r="B315" t="s">
        <v>1743</v>
      </c>
      <c r="C315">
        <v>379800</v>
      </c>
      <c r="D315" t="s">
        <v>1439</v>
      </c>
    </row>
    <row r="316" spans="1:4" ht="15" customHeight="1" x14ac:dyDescent="0.25">
      <c r="A316">
        <v>379900</v>
      </c>
      <c r="B316" t="s">
        <v>1744</v>
      </c>
      <c r="C316">
        <v>379900</v>
      </c>
      <c r="D316" t="s">
        <v>1439</v>
      </c>
    </row>
    <row r="317" spans="1:4" ht="15" customHeight="1" x14ac:dyDescent="0.25">
      <c r="A317">
        <v>382000</v>
      </c>
      <c r="B317" t="s">
        <v>1745</v>
      </c>
      <c r="C317">
        <v>382000</v>
      </c>
      <c r="D317" t="s">
        <v>1439</v>
      </c>
    </row>
    <row r="318" spans="1:4" ht="15" customHeight="1" x14ac:dyDescent="0.25">
      <c r="A318">
        <v>382100</v>
      </c>
      <c r="B318" t="s">
        <v>1746</v>
      </c>
      <c r="C318">
        <v>382100</v>
      </c>
      <c r="D318" t="s">
        <v>1439</v>
      </c>
    </row>
    <row r="319" spans="1:4" ht="15" customHeight="1" x14ac:dyDescent="0.25">
      <c r="A319">
        <v>382201</v>
      </c>
      <c r="B319" t="s">
        <v>1747</v>
      </c>
      <c r="C319">
        <v>382201</v>
      </c>
      <c r="D319" t="s">
        <v>1439</v>
      </c>
    </row>
    <row r="320" spans="1:4" ht="15" customHeight="1" x14ac:dyDescent="0.25">
      <c r="A320">
        <v>382202</v>
      </c>
      <c r="B320" t="s">
        <v>1748</v>
      </c>
      <c r="C320">
        <v>382202</v>
      </c>
      <c r="D320" t="s">
        <v>1439</v>
      </c>
    </row>
    <row r="321" spans="1:4" ht="15" customHeight="1" x14ac:dyDescent="0.25">
      <c r="A321">
        <v>382400</v>
      </c>
      <c r="B321" t="s">
        <v>1749</v>
      </c>
      <c r="C321">
        <v>382400</v>
      </c>
      <c r="D321" t="s">
        <v>1439</v>
      </c>
    </row>
    <row r="322" spans="1:4" ht="15" customHeight="1" x14ac:dyDescent="0.25">
      <c r="A322">
        <v>382500</v>
      </c>
      <c r="B322" t="s">
        <v>1750</v>
      </c>
      <c r="C322">
        <v>382500</v>
      </c>
      <c r="D322" t="s">
        <v>1439</v>
      </c>
    </row>
    <row r="323" spans="1:4" ht="15" customHeight="1" x14ac:dyDescent="0.25">
      <c r="A323">
        <v>382601</v>
      </c>
      <c r="B323" t="s">
        <v>1751</v>
      </c>
      <c r="C323">
        <v>382601</v>
      </c>
      <c r="D323" t="s">
        <v>1439</v>
      </c>
    </row>
    <row r="324" spans="1:4" ht="15" customHeight="1" x14ac:dyDescent="0.25">
      <c r="A324">
        <v>382700</v>
      </c>
      <c r="B324" t="s">
        <v>1752</v>
      </c>
      <c r="C324">
        <v>382700</v>
      </c>
      <c r="D324" t="s">
        <v>1439</v>
      </c>
    </row>
    <row r="325" spans="1:4" ht="15" customHeight="1" x14ac:dyDescent="0.25">
      <c r="A325">
        <v>382801</v>
      </c>
      <c r="B325" t="s">
        <v>1753</v>
      </c>
      <c r="C325">
        <v>382801</v>
      </c>
      <c r="D325" t="s">
        <v>1439</v>
      </c>
    </row>
    <row r="326" spans="1:4" ht="15" customHeight="1" x14ac:dyDescent="0.25">
      <c r="A326">
        <v>382802</v>
      </c>
      <c r="B326" t="s">
        <v>1754</v>
      </c>
      <c r="C326">
        <v>382802</v>
      </c>
      <c r="D326" t="s">
        <v>1439</v>
      </c>
    </row>
    <row r="327" spans="1:4" ht="15" customHeight="1" x14ac:dyDescent="0.25">
      <c r="A327">
        <v>382900</v>
      </c>
      <c r="B327" t="s">
        <v>1755</v>
      </c>
      <c r="C327">
        <v>382900</v>
      </c>
      <c r="D327" t="s">
        <v>1439</v>
      </c>
    </row>
    <row r="328" spans="1:4" ht="15" customHeight="1" x14ac:dyDescent="0.25">
      <c r="A328">
        <v>387100</v>
      </c>
      <c r="B328" t="s">
        <v>1756</v>
      </c>
      <c r="C328">
        <v>387100</v>
      </c>
      <c r="D328" t="s">
        <v>1439</v>
      </c>
    </row>
    <row r="329" spans="1:4" ht="15" customHeight="1" x14ac:dyDescent="0.25">
      <c r="A329">
        <v>387200</v>
      </c>
      <c r="B329" t="s">
        <v>1757</v>
      </c>
      <c r="C329">
        <v>387200</v>
      </c>
      <c r="D329" t="s">
        <v>1439</v>
      </c>
    </row>
    <row r="330" spans="1:4" ht="15" customHeight="1" x14ac:dyDescent="0.25">
      <c r="A330">
        <v>387300</v>
      </c>
      <c r="B330" t="s">
        <v>1758</v>
      </c>
      <c r="C330">
        <v>387300</v>
      </c>
      <c r="D330" t="s">
        <v>1439</v>
      </c>
    </row>
    <row r="331" spans="1:4" ht="15" customHeight="1" x14ac:dyDescent="0.25">
      <c r="A331">
        <v>389100</v>
      </c>
      <c r="B331" t="s">
        <v>1759</v>
      </c>
      <c r="C331">
        <v>389100</v>
      </c>
      <c r="D331" t="s">
        <v>446</v>
      </c>
    </row>
    <row r="332" spans="1:4" ht="15" customHeight="1" x14ac:dyDescent="0.25">
      <c r="A332">
        <v>389200</v>
      </c>
      <c r="B332" t="s">
        <v>1760</v>
      </c>
      <c r="C332">
        <v>389200</v>
      </c>
      <c r="D332" t="s">
        <v>446</v>
      </c>
    </row>
    <row r="333" spans="1:4" ht="15" customHeight="1" x14ac:dyDescent="0.25">
      <c r="A333">
        <v>396000</v>
      </c>
      <c r="B333" t="s">
        <v>1761</v>
      </c>
      <c r="C333">
        <v>396000</v>
      </c>
      <c r="D333" t="s">
        <v>1439</v>
      </c>
    </row>
    <row r="334" spans="1:4" ht="15" customHeight="1" x14ac:dyDescent="0.25">
      <c r="A334">
        <v>397000</v>
      </c>
      <c r="B334" t="s">
        <v>1762</v>
      </c>
      <c r="C334">
        <v>397000</v>
      </c>
      <c r="D334" t="s">
        <v>1439</v>
      </c>
    </row>
    <row r="335" spans="1:4" ht="15" customHeight="1" x14ac:dyDescent="0.25">
      <c r="A335">
        <v>398001</v>
      </c>
      <c r="B335" t="s">
        <v>1763</v>
      </c>
      <c r="C335">
        <v>398001</v>
      </c>
      <c r="D335" t="s">
        <v>1439</v>
      </c>
    </row>
    <row r="336" spans="1:4" ht="15" customHeight="1" x14ac:dyDescent="0.25">
      <c r="A336">
        <v>398002</v>
      </c>
      <c r="B336" t="s">
        <v>1764</v>
      </c>
      <c r="C336">
        <v>398002</v>
      </c>
      <c r="D336" t="s">
        <v>1439</v>
      </c>
    </row>
    <row r="337" spans="1:4" ht="15" customHeight="1" x14ac:dyDescent="0.25">
      <c r="A337">
        <v>398003</v>
      </c>
      <c r="B337" t="s">
        <v>1765</v>
      </c>
      <c r="C337">
        <v>398003</v>
      </c>
      <c r="D337" t="s">
        <v>1439</v>
      </c>
    </row>
    <row r="338" spans="1:4" ht="15" customHeight="1" x14ac:dyDescent="0.25">
      <c r="A338">
        <v>398004</v>
      </c>
      <c r="B338" t="s">
        <v>1766</v>
      </c>
      <c r="C338">
        <v>398004</v>
      </c>
      <c r="D338" t="s">
        <v>1439</v>
      </c>
    </row>
    <row r="339" spans="1:4" ht="15" customHeight="1" x14ac:dyDescent="0.25">
      <c r="A339">
        <v>398005</v>
      </c>
      <c r="B339" t="s">
        <v>1767</v>
      </c>
      <c r="C339">
        <v>398005</v>
      </c>
      <c r="D339" t="s">
        <v>1439</v>
      </c>
    </row>
    <row r="340" spans="1:4" ht="15" customHeight="1" x14ac:dyDescent="0.25">
      <c r="A340">
        <v>398101</v>
      </c>
      <c r="B340" t="s">
        <v>1768</v>
      </c>
      <c r="C340">
        <v>398101</v>
      </c>
      <c r="D340" t="s">
        <v>1439</v>
      </c>
    </row>
    <row r="341" spans="1:4" ht="15" customHeight="1" x14ac:dyDescent="0.25">
      <c r="A341">
        <v>398102</v>
      </c>
      <c r="B341" t="s">
        <v>1769</v>
      </c>
      <c r="C341">
        <v>398102</v>
      </c>
      <c r="D341" t="s">
        <v>1439</v>
      </c>
    </row>
    <row r="342" spans="1:4" ht="15" customHeight="1" x14ac:dyDescent="0.25">
      <c r="A342">
        <v>398200</v>
      </c>
      <c r="B342" t="s">
        <v>1770</v>
      </c>
      <c r="C342">
        <v>398200</v>
      </c>
      <c r="D342" t="s">
        <v>1439</v>
      </c>
    </row>
    <row r="343" spans="1:4" ht="15" customHeight="1" x14ac:dyDescent="0.25">
      <c r="A343">
        <v>398300</v>
      </c>
      <c r="B343" t="s">
        <v>1771</v>
      </c>
      <c r="C343">
        <v>398300</v>
      </c>
      <c r="D343" t="s">
        <v>1439</v>
      </c>
    </row>
    <row r="344" spans="1:4" ht="15" customHeight="1" x14ac:dyDescent="0.25">
      <c r="A344">
        <v>398400</v>
      </c>
      <c r="B344" t="s">
        <v>1772</v>
      </c>
      <c r="C344">
        <v>398400</v>
      </c>
      <c r="D344" t="s">
        <v>1439</v>
      </c>
    </row>
    <row r="345" spans="1:4" ht="15" customHeight="1" x14ac:dyDescent="0.25">
      <c r="A345">
        <v>399100</v>
      </c>
      <c r="B345" t="s">
        <v>1773</v>
      </c>
      <c r="C345">
        <v>399100</v>
      </c>
      <c r="D345" t="s">
        <v>446</v>
      </c>
    </row>
    <row r="346" spans="1:4" ht="15" customHeight="1" x14ac:dyDescent="0.25">
      <c r="A346">
        <v>399200</v>
      </c>
      <c r="B346" t="s">
        <v>1774</v>
      </c>
      <c r="C346">
        <v>399200</v>
      </c>
      <c r="D346" t="s">
        <v>446</v>
      </c>
    </row>
    <row r="347" spans="1:4" ht="15" customHeight="1" x14ac:dyDescent="0.25">
      <c r="A347">
        <v>400000</v>
      </c>
      <c r="B347" t="s">
        <v>1775</v>
      </c>
      <c r="C347">
        <v>400000</v>
      </c>
      <c r="D347" t="s">
        <v>1776</v>
      </c>
    </row>
    <row r="348" spans="1:4" ht="15" customHeight="1" x14ac:dyDescent="0.25">
      <c r="A348">
        <v>411100</v>
      </c>
      <c r="B348" t="s">
        <v>1777</v>
      </c>
      <c r="C348">
        <v>411100</v>
      </c>
      <c r="D348" t="s">
        <v>1776</v>
      </c>
    </row>
    <row r="349" spans="1:4" ht="15" customHeight="1" x14ac:dyDescent="0.25">
      <c r="A349">
        <v>411200</v>
      </c>
      <c r="B349" t="s">
        <v>1778</v>
      </c>
      <c r="C349">
        <v>411200</v>
      </c>
      <c r="D349" t="s">
        <v>1776</v>
      </c>
    </row>
    <row r="350" spans="1:4" ht="15" customHeight="1" x14ac:dyDescent="0.25">
      <c r="A350">
        <v>411300</v>
      </c>
      <c r="B350" t="s">
        <v>1779</v>
      </c>
      <c r="C350">
        <v>411300</v>
      </c>
      <c r="D350" t="s">
        <v>1776</v>
      </c>
    </row>
    <row r="351" spans="1:4" ht="15" customHeight="1" x14ac:dyDescent="0.25">
      <c r="A351">
        <v>411400</v>
      </c>
      <c r="B351" t="s">
        <v>1780</v>
      </c>
      <c r="C351">
        <v>411400</v>
      </c>
      <c r="D351" t="s">
        <v>1776</v>
      </c>
    </row>
    <row r="352" spans="1:4" ht="15" customHeight="1" x14ac:dyDescent="0.25">
      <c r="A352">
        <v>411500</v>
      </c>
      <c r="B352" t="s">
        <v>1781</v>
      </c>
      <c r="C352">
        <v>411500</v>
      </c>
      <c r="D352" t="s">
        <v>1776</v>
      </c>
    </row>
    <row r="353" spans="1:4" ht="15" customHeight="1" x14ac:dyDescent="0.25">
      <c r="A353">
        <v>411600</v>
      </c>
      <c r="B353" t="s">
        <v>1782</v>
      </c>
      <c r="C353">
        <v>411600</v>
      </c>
      <c r="D353" t="s">
        <v>1776</v>
      </c>
    </row>
    <row r="354" spans="1:4" ht="15" customHeight="1" x14ac:dyDescent="0.25">
      <c r="A354">
        <v>411700</v>
      </c>
      <c r="B354" t="s">
        <v>1783</v>
      </c>
      <c r="C354">
        <v>411700</v>
      </c>
      <c r="D354" t="s">
        <v>1776</v>
      </c>
    </row>
    <row r="355" spans="1:4" ht="15" customHeight="1" x14ac:dyDescent="0.25">
      <c r="A355">
        <v>411800</v>
      </c>
      <c r="B355" t="s">
        <v>1784</v>
      </c>
      <c r="C355">
        <v>411800</v>
      </c>
      <c r="D355" t="s">
        <v>1776</v>
      </c>
    </row>
    <row r="356" spans="1:4" ht="15" customHeight="1" x14ac:dyDescent="0.25">
      <c r="A356">
        <v>411900</v>
      </c>
      <c r="B356" t="s">
        <v>1785</v>
      </c>
      <c r="C356">
        <v>411900</v>
      </c>
      <c r="D356" t="s">
        <v>1776</v>
      </c>
    </row>
    <row r="357" spans="1:4" ht="15" customHeight="1" x14ac:dyDescent="0.25">
      <c r="A357">
        <v>412000</v>
      </c>
      <c r="B357" t="s">
        <v>1786</v>
      </c>
      <c r="C357">
        <v>412000</v>
      </c>
      <c r="D357" t="s">
        <v>1776</v>
      </c>
    </row>
    <row r="358" spans="1:4" ht="15" customHeight="1" x14ac:dyDescent="0.25">
      <c r="A358">
        <v>421000</v>
      </c>
      <c r="B358" t="s">
        <v>1787</v>
      </c>
      <c r="C358">
        <v>421000</v>
      </c>
      <c r="D358" t="s">
        <v>1788</v>
      </c>
    </row>
    <row r="359" spans="1:4" ht="15" customHeight="1" x14ac:dyDescent="0.25">
      <c r="A359">
        <v>422000</v>
      </c>
      <c r="B359" t="s">
        <v>1789</v>
      </c>
      <c r="C359">
        <v>422000</v>
      </c>
      <c r="D359" t="s">
        <v>1788</v>
      </c>
    </row>
    <row r="360" spans="1:4" ht="15" customHeight="1" x14ac:dyDescent="0.25">
      <c r="A360">
        <v>422100</v>
      </c>
      <c r="B360" t="s">
        <v>1790</v>
      </c>
      <c r="C360">
        <v>422100</v>
      </c>
      <c r="D360" t="s">
        <v>1788</v>
      </c>
    </row>
    <row r="361" spans="1:4" ht="15" customHeight="1" x14ac:dyDescent="0.25">
      <c r="A361">
        <v>423100</v>
      </c>
      <c r="B361" t="s">
        <v>1791</v>
      </c>
      <c r="C361">
        <v>423100</v>
      </c>
      <c r="D361" t="s">
        <v>1788</v>
      </c>
    </row>
    <row r="362" spans="1:4" ht="15" customHeight="1" x14ac:dyDescent="0.25">
      <c r="A362">
        <v>424100</v>
      </c>
      <c r="B362" t="s">
        <v>1792</v>
      </c>
      <c r="C362">
        <v>424100</v>
      </c>
      <c r="D362" t="s">
        <v>1788</v>
      </c>
    </row>
    <row r="363" spans="1:4" ht="15" customHeight="1" x14ac:dyDescent="0.25">
      <c r="A363">
        <v>425100</v>
      </c>
      <c r="B363" t="s">
        <v>1793</v>
      </c>
      <c r="C363">
        <v>425100</v>
      </c>
      <c r="D363" t="s">
        <v>1788</v>
      </c>
    </row>
    <row r="364" spans="1:4" ht="15" customHeight="1" x14ac:dyDescent="0.25">
      <c r="A364">
        <v>426100</v>
      </c>
      <c r="B364" t="s">
        <v>1794</v>
      </c>
      <c r="C364">
        <v>426100</v>
      </c>
      <c r="D364" t="s">
        <v>1788</v>
      </c>
    </row>
    <row r="365" spans="1:4" ht="15" customHeight="1" x14ac:dyDescent="0.25">
      <c r="A365">
        <v>426200</v>
      </c>
      <c r="B365" t="s">
        <v>1795</v>
      </c>
      <c r="C365">
        <v>426200</v>
      </c>
      <c r="D365" t="s">
        <v>1788</v>
      </c>
    </row>
    <row r="366" spans="1:4" ht="15" customHeight="1" x14ac:dyDescent="0.25">
      <c r="A366">
        <v>426300</v>
      </c>
      <c r="B366" t="s">
        <v>1796</v>
      </c>
      <c r="C366">
        <v>426300</v>
      </c>
      <c r="D366" t="s">
        <v>1788</v>
      </c>
    </row>
    <row r="367" spans="1:4" ht="15" customHeight="1" x14ac:dyDescent="0.25">
      <c r="A367">
        <v>427300</v>
      </c>
      <c r="B367" t="s">
        <v>1797</v>
      </c>
      <c r="C367">
        <v>427300</v>
      </c>
      <c r="D367" t="s">
        <v>1788</v>
      </c>
    </row>
    <row r="368" spans="1:4" ht="15" customHeight="1" x14ac:dyDescent="0.25">
      <c r="A368">
        <v>427400</v>
      </c>
      <c r="B368" t="s">
        <v>1798</v>
      </c>
      <c r="C368">
        <v>427400</v>
      </c>
      <c r="D368" t="s">
        <v>1788</v>
      </c>
    </row>
    <row r="369" spans="1:4" ht="15" customHeight="1" x14ac:dyDescent="0.25">
      <c r="A369">
        <v>427500</v>
      </c>
      <c r="B369" t="s">
        <v>1799</v>
      </c>
      <c r="C369">
        <v>427500</v>
      </c>
      <c r="D369" t="s">
        <v>1788</v>
      </c>
    </row>
    <row r="370" spans="1:4" ht="15" customHeight="1" x14ac:dyDescent="0.25">
      <c r="A370">
        <v>427600</v>
      </c>
      <c r="B370" t="s">
        <v>1800</v>
      </c>
      <c r="C370">
        <v>427600</v>
      </c>
      <c r="D370" t="s">
        <v>1788</v>
      </c>
    </row>
    <row r="371" spans="1:4" ht="15" customHeight="1" x14ac:dyDescent="0.25">
      <c r="A371">
        <v>427700</v>
      </c>
      <c r="B371" t="s">
        <v>1801</v>
      </c>
      <c r="C371">
        <v>427700</v>
      </c>
      <c r="D371" t="s">
        <v>1788</v>
      </c>
    </row>
    <row r="372" spans="1:4" ht="15" customHeight="1" x14ac:dyDescent="0.25">
      <c r="A372">
        <v>428100</v>
      </c>
      <c r="B372" t="s">
        <v>1802</v>
      </c>
      <c r="C372">
        <v>428100</v>
      </c>
      <c r="D372" t="s">
        <v>1788</v>
      </c>
    </row>
    <row r="373" spans="1:4" ht="15" customHeight="1" x14ac:dyDescent="0.25">
      <c r="A373">
        <v>429000</v>
      </c>
      <c r="B373" t="s">
        <v>1803</v>
      </c>
      <c r="C373">
        <v>429000</v>
      </c>
      <c r="D373" t="s">
        <v>1788</v>
      </c>
    </row>
    <row r="374" spans="1:4" ht="15" customHeight="1" x14ac:dyDescent="0.25">
      <c r="A374">
        <v>446100</v>
      </c>
      <c r="B374" t="s">
        <v>1804</v>
      </c>
      <c r="C374">
        <v>446100</v>
      </c>
      <c r="D374" t="s">
        <v>1788</v>
      </c>
    </row>
    <row r="375" spans="1:4" ht="15" customHeight="1" x14ac:dyDescent="0.25">
      <c r="A375">
        <v>446200</v>
      </c>
      <c r="B375" t="s">
        <v>1805</v>
      </c>
      <c r="C375">
        <v>446200</v>
      </c>
      <c r="D375" t="s">
        <v>1788</v>
      </c>
    </row>
    <row r="376" spans="1:4" ht="15" customHeight="1" x14ac:dyDescent="0.25">
      <c r="A376">
        <v>446200</v>
      </c>
      <c r="B376" t="s">
        <v>1806</v>
      </c>
      <c r="C376">
        <v>446200</v>
      </c>
      <c r="D376" t="s">
        <v>1788</v>
      </c>
    </row>
    <row r="377" spans="1:4" ht="15" customHeight="1" x14ac:dyDescent="0.25">
      <c r="A377">
        <v>447000</v>
      </c>
      <c r="B377" t="s">
        <v>1807</v>
      </c>
      <c r="C377">
        <v>447000</v>
      </c>
      <c r="D377" t="s">
        <v>1776</v>
      </c>
    </row>
    <row r="378" spans="1:4" ht="15" customHeight="1" x14ac:dyDescent="0.25">
      <c r="A378">
        <v>447100</v>
      </c>
      <c r="B378" t="s">
        <v>1808</v>
      </c>
      <c r="C378">
        <v>447100</v>
      </c>
      <c r="D378" t="s">
        <v>1809</v>
      </c>
    </row>
    <row r="379" spans="1:4" ht="15" customHeight="1" x14ac:dyDescent="0.25">
      <c r="A379">
        <v>447200</v>
      </c>
      <c r="B379" t="s">
        <v>1810</v>
      </c>
      <c r="C379">
        <v>447200</v>
      </c>
      <c r="D379" t="s">
        <v>1776</v>
      </c>
    </row>
    <row r="380" spans="1:4" ht="15" customHeight="1" x14ac:dyDescent="0.25">
      <c r="A380">
        <v>447300</v>
      </c>
      <c r="B380" t="s">
        <v>1811</v>
      </c>
      <c r="C380">
        <v>447300</v>
      </c>
      <c r="D380" t="s">
        <v>1809</v>
      </c>
    </row>
    <row r="381" spans="1:4" ht="15" customHeight="1" x14ac:dyDescent="0.25">
      <c r="A381">
        <v>447301</v>
      </c>
      <c r="B381" t="s">
        <v>1812</v>
      </c>
      <c r="C381">
        <v>447301</v>
      </c>
      <c r="D381" t="s">
        <v>1776</v>
      </c>
    </row>
    <row r="382" spans="1:4" ht="15" customHeight="1" x14ac:dyDescent="0.25">
      <c r="A382">
        <v>447302</v>
      </c>
      <c r="B382" t="s">
        <v>1813</v>
      </c>
      <c r="C382">
        <v>447302</v>
      </c>
      <c r="D382" t="s">
        <v>1776</v>
      </c>
    </row>
    <row r="383" spans="1:4" ht="15" customHeight="1" x14ac:dyDescent="0.25">
      <c r="A383">
        <v>447400</v>
      </c>
      <c r="B383" t="s">
        <v>1814</v>
      </c>
      <c r="C383">
        <v>447400</v>
      </c>
      <c r="D383" t="s">
        <v>1776</v>
      </c>
    </row>
    <row r="384" spans="1:4" ht="15" customHeight="1" x14ac:dyDescent="0.25">
      <c r="A384">
        <v>447501</v>
      </c>
      <c r="B384" t="s">
        <v>1815</v>
      </c>
      <c r="C384">
        <v>447501</v>
      </c>
      <c r="D384" t="s">
        <v>1776</v>
      </c>
    </row>
    <row r="385" spans="1:4" ht="15" customHeight="1" x14ac:dyDescent="0.25">
      <c r="A385">
        <v>447502</v>
      </c>
      <c r="B385" t="s">
        <v>1816</v>
      </c>
      <c r="C385">
        <v>447502</v>
      </c>
      <c r="D385" t="s">
        <v>1776</v>
      </c>
    </row>
    <row r="386" spans="1:4" ht="15" customHeight="1" x14ac:dyDescent="0.25">
      <c r="A386">
        <v>447600</v>
      </c>
      <c r="B386" t="s">
        <v>1817</v>
      </c>
      <c r="C386">
        <v>447600</v>
      </c>
      <c r="D386" t="s">
        <v>1776</v>
      </c>
    </row>
    <row r="387" spans="1:4" ht="15" customHeight="1" x14ac:dyDescent="0.25">
      <c r="A387">
        <v>447700</v>
      </c>
      <c r="B387" t="s">
        <v>1818</v>
      </c>
      <c r="C387">
        <v>447700</v>
      </c>
      <c r="D387" t="s">
        <v>1776</v>
      </c>
    </row>
    <row r="388" spans="1:4" ht="15" customHeight="1" x14ac:dyDescent="0.25">
      <c r="A388">
        <v>447800</v>
      </c>
      <c r="B388" t="s">
        <v>1819</v>
      </c>
      <c r="C388">
        <v>447800</v>
      </c>
      <c r="D388" t="s">
        <v>1776</v>
      </c>
    </row>
    <row r="389" spans="1:4" ht="15" customHeight="1" x14ac:dyDescent="0.25">
      <c r="A389">
        <v>447900</v>
      </c>
      <c r="B389" t="s">
        <v>1820</v>
      </c>
      <c r="C389">
        <v>447900</v>
      </c>
      <c r="D389" t="s">
        <v>1776</v>
      </c>
    </row>
    <row r="390" spans="1:4" ht="15" customHeight="1" x14ac:dyDescent="0.25">
      <c r="A390">
        <v>458000</v>
      </c>
      <c r="B390" t="s">
        <v>1821</v>
      </c>
      <c r="C390">
        <v>458000</v>
      </c>
      <c r="D390" t="s">
        <v>1776</v>
      </c>
    </row>
    <row r="391" spans="1:4" ht="15" customHeight="1" x14ac:dyDescent="0.25">
      <c r="A391">
        <v>478000</v>
      </c>
      <c r="B391" t="s">
        <v>1822</v>
      </c>
      <c r="C391">
        <v>478000</v>
      </c>
      <c r="D391" t="s">
        <v>1776</v>
      </c>
    </row>
    <row r="392" spans="1:4" ht="15" customHeight="1" x14ac:dyDescent="0.25">
      <c r="A392">
        <v>481100</v>
      </c>
      <c r="B392" t="s">
        <v>1823</v>
      </c>
      <c r="C392">
        <v>481100</v>
      </c>
      <c r="D392" t="s">
        <v>1824</v>
      </c>
    </row>
    <row r="393" spans="1:4" ht="15" customHeight="1" x14ac:dyDescent="0.25">
      <c r="A393">
        <v>481200</v>
      </c>
      <c r="B393" t="s">
        <v>1825</v>
      </c>
      <c r="C393">
        <v>481200</v>
      </c>
      <c r="D393" t="s">
        <v>1824</v>
      </c>
    </row>
    <row r="394" spans="1:4" ht="15" customHeight="1" x14ac:dyDescent="0.25">
      <c r="A394">
        <v>482000</v>
      </c>
      <c r="B394" t="s">
        <v>1826</v>
      </c>
      <c r="C394">
        <v>482000</v>
      </c>
      <c r="D394" t="s">
        <v>1824</v>
      </c>
    </row>
    <row r="395" spans="1:4" ht="15" customHeight="1" x14ac:dyDescent="0.25">
      <c r="A395">
        <v>487100</v>
      </c>
      <c r="B395" t="s">
        <v>1827</v>
      </c>
      <c r="C395">
        <v>487100</v>
      </c>
      <c r="D395" t="s">
        <v>1776</v>
      </c>
    </row>
    <row r="396" spans="1:4" ht="15" customHeight="1" x14ac:dyDescent="0.25">
      <c r="A396">
        <v>489100</v>
      </c>
      <c r="B396" t="s">
        <v>1828</v>
      </c>
      <c r="C396">
        <v>489100</v>
      </c>
      <c r="D396" t="s">
        <v>1824</v>
      </c>
    </row>
    <row r="397" spans="1:4" ht="15" customHeight="1" x14ac:dyDescent="0.25">
      <c r="A397">
        <v>489200</v>
      </c>
      <c r="B397" t="s">
        <v>1829</v>
      </c>
      <c r="C397">
        <v>489200</v>
      </c>
      <c r="D397" t="s">
        <v>1824</v>
      </c>
    </row>
    <row r="398" spans="1:4" ht="15" customHeight="1" x14ac:dyDescent="0.25">
      <c r="A398">
        <v>491000</v>
      </c>
      <c r="B398" t="s">
        <v>1830</v>
      </c>
      <c r="C398">
        <v>491000</v>
      </c>
      <c r="D398" t="s">
        <v>1824</v>
      </c>
    </row>
    <row r="399" spans="1:4" ht="15" customHeight="1" x14ac:dyDescent="0.25">
      <c r="A399">
        <v>492100</v>
      </c>
      <c r="B399" t="s">
        <v>1831</v>
      </c>
      <c r="C399">
        <v>492100</v>
      </c>
      <c r="D399" t="s">
        <v>1824</v>
      </c>
    </row>
    <row r="400" spans="1:4" ht="15" customHeight="1" x14ac:dyDescent="0.25">
      <c r="A400">
        <v>492200</v>
      </c>
      <c r="B400" t="s">
        <v>1832</v>
      </c>
      <c r="C400">
        <v>492200</v>
      </c>
      <c r="D400" t="s">
        <v>1824</v>
      </c>
    </row>
    <row r="401" spans="1:4" ht="15" customHeight="1" x14ac:dyDescent="0.25">
      <c r="A401">
        <v>495000</v>
      </c>
      <c r="B401" t="s">
        <v>1833</v>
      </c>
      <c r="C401">
        <v>495000</v>
      </c>
      <c r="D401" t="s">
        <v>1824</v>
      </c>
    </row>
    <row r="402" spans="1:4" ht="15" customHeight="1" x14ac:dyDescent="0.25">
      <c r="A402">
        <v>495100</v>
      </c>
      <c r="B402" t="s">
        <v>1834</v>
      </c>
      <c r="C402">
        <v>495100</v>
      </c>
      <c r="D402" t="s">
        <v>1824</v>
      </c>
    </row>
    <row r="403" spans="1:4" ht="15" customHeight="1" x14ac:dyDescent="0.25">
      <c r="A403">
        <v>495200</v>
      </c>
      <c r="B403" t="s">
        <v>1835</v>
      </c>
      <c r="C403">
        <v>495200</v>
      </c>
      <c r="D403" t="s">
        <v>1824</v>
      </c>
    </row>
    <row r="404" spans="1:4" ht="15" customHeight="1" x14ac:dyDescent="0.25">
      <c r="A404">
        <v>495300</v>
      </c>
      <c r="B404" t="s">
        <v>1836</v>
      </c>
      <c r="C404">
        <v>495300</v>
      </c>
      <c r="D404" t="s">
        <v>1824</v>
      </c>
    </row>
    <row r="405" spans="1:4" ht="15" customHeight="1" x14ac:dyDescent="0.25">
      <c r="A405">
        <v>495400</v>
      </c>
      <c r="B405" t="s">
        <v>1837</v>
      </c>
      <c r="C405">
        <v>495400</v>
      </c>
      <c r="D405" t="s">
        <v>1824</v>
      </c>
    </row>
    <row r="406" spans="1:4" ht="15" customHeight="1" x14ac:dyDescent="0.25">
      <c r="A406">
        <v>495500</v>
      </c>
      <c r="B406" t="s">
        <v>1838</v>
      </c>
      <c r="C406">
        <v>495500</v>
      </c>
      <c r="D406" t="s">
        <v>1824</v>
      </c>
    </row>
    <row r="407" spans="1:4" ht="15" customHeight="1" x14ac:dyDescent="0.25">
      <c r="A407">
        <v>495600</v>
      </c>
      <c r="B407" t="s">
        <v>1839</v>
      </c>
      <c r="C407">
        <v>495600</v>
      </c>
      <c r="D407" t="s">
        <v>1824</v>
      </c>
    </row>
    <row r="408" spans="1:4" ht="15" customHeight="1" x14ac:dyDescent="0.25">
      <c r="A408">
        <v>495700</v>
      </c>
      <c r="B408" t="s">
        <v>1840</v>
      </c>
      <c r="C408">
        <v>495700</v>
      </c>
      <c r="D408" t="s">
        <v>1824</v>
      </c>
    </row>
    <row r="409" spans="1:4" ht="15" customHeight="1" x14ac:dyDescent="0.25">
      <c r="A409">
        <v>495800</v>
      </c>
      <c r="B409" t="s">
        <v>1841</v>
      </c>
      <c r="C409">
        <v>495800</v>
      </c>
      <c r="D409" t="s">
        <v>1824</v>
      </c>
    </row>
    <row r="410" spans="1:4" ht="15" customHeight="1" x14ac:dyDescent="0.25">
      <c r="A410">
        <v>495900</v>
      </c>
      <c r="B410" t="s">
        <v>1842</v>
      </c>
      <c r="C410">
        <v>495900</v>
      </c>
      <c r="D410" t="s">
        <v>1824</v>
      </c>
    </row>
    <row r="411" spans="1:4" ht="15" customHeight="1" x14ac:dyDescent="0.25">
      <c r="A411">
        <v>501100</v>
      </c>
      <c r="B411" t="s">
        <v>1843</v>
      </c>
      <c r="C411">
        <v>501100</v>
      </c>
      <c r="D411" t="s">
        <v>1844</v>
      </c>
    </row>
    <row r="412" spans="1:4" ht="15" customHeight="1" x14ac:dyDescent="0.25">
      <c r="A412">
        <v>501200</v>
      </c>
      <c r="B412" t="s">
        <v>1737</v>
      </c>
      <c r="C412">
        <v>501200</v>
      </c>
      <c r="D412" t="s">
        <v>1844</v>
      </c>
    </row>
    <row r="413" spans="1:4" ht="15" customHeight="1" x14ac:dyDescent="0.25">
      <c r="A413">
        <v>501300</v>
      </c>
      <c r="B413" t="s">
        <v>1738</v>
      </c>
      <c r="C413">
        <v>501300</v>
      </c>
      <c r="D413" t="s">
        <v>1844</v>
      </c>
    </row>
    <row r="414" spans="1:4" ht="15" customHeight="1" x14ac:dyDescent="0.25">
      <c r="A414">
        <v>501400</v>
      </c>
      <c r="B414" t="s">
        <v>1845</v>
      </c>
      <c r="C414">
        <v>501400</v>
      </c>
      <c r="D414" t="s">
        <v>1844</v>
      </c>
    </row>
    <row r="415" spans="1:4" ht="15" customHeight="1" x14ac:dyDescent="0.25">
      <c r="A415">
        <v>501500</v>
      </c>
      <c r="B415" t="s">
        <v>1846</v>
      </c>
      <c r="C415">
        <v>501500</v>
      </c>
      <c r="D415" t="s">
        <v>1844</v>
      </c>
    </row>
    <row r="416" spans="1:4" ht="15" customHeight="1" x14ac:dyDescent="0.25">
      <c r="A416">
        <v>501600</v>
      </c>
      <c r="B416" t="s">
        <v>1847</v>
      </c>
      <c r="C416">
        <v>501600</v>
      </c>
      <c r="D416" t="s">
        <v>1844</v>
      </c>
    </row>
    <row r="417" spans="1:4" ht="15" customHeight="1" x14ac:dyDescent="0.25">
      <c r="A417">
        <v>502100</v>
      </c>
      <c r="B417" t="s">
        <v>1848</v>
      </c>
      <c r="C417">
        <v>502100</v>
      </c>
      <c r="D417" t="s">
        <v>1844</v>
      </c>
    </row>
    <row r="418" spans="1:4" ht="15" customHeight="1" x14ac:dyDescent="0.25">
      <c r="A418">
        <v>502200</v>
      </c>
      <c r="B418" t="s">
        <v>1849</v>
      </c>
      <c r="C418">
        <v>502200</v>
      </c>
      <c r="D418" t="s">
        <v>1844</v>
      </c>
    </row>
    <row r="419" spans="1:4" ht="15" customHeight="1" x14ac:dyDescent="0.25">
      <c r="A419">
        <v>503200</v>
      </c>
      <c r="B419" t="s">
        <v>1850</v>
      </c>
      <c r="C419">
        <v>503200</v>
      </c>
      <c r="D419" t="s">
        <v>1844</v>
      </c>
    </row>
    <row r="420" spans="1:4" ht="15" customHeight="1" x14ac:dyDescent="0.25">
      <c r="A420">
        <v>503300</v>
      </c>
      <c r="B420" t="s">
        <v>1851</v>
      </c>
      <c r="C420">
        <v>503300</v>
      </c>
      <c r="D420" t="s">
        <v>1844</v>
      </c>
    </row>
    <row r="421" spans="1:4" ht="15" customHeight="1" x14ac:dyDescent="0.25">
      <c r="A421">
        <v>503400</v>
      </c>
      <c r="B421" t="s">
        <v>1852</v>
      </c>
      <c r="C421">
        <v>503400</v>
      </c>
      <c r="D421" t="s">
        <v>1844</v>
      </c>
    </row>
    <row r="422" spans="1:4" ht="15" customHeight="1" x14ac:dyDescent="0.25">
      <c r="A422">
        <v>504100</v>
      </c>
      <c r="B422" t="s">
        <v>1853</v>
      </c>
      <c r="C422">
        <v>504100</v>
      </c>
      <c r="D422" t="s">
        <v>1844</v>
      </c>
    </row>
    <row r="423" spans="1:4" ht="15" customHeight="1" x14ac:dyDescent="0.25">
      <c r="A423">
        <v>504200</v>
      </c>
      <c r="B423" t="s">
        <v>1854</v>
      </c>
      <c r="C423">
        <v>504200</v>
      </c>
      <c r="D423" t="s">
        <v>1844</v>
      </c>
    </row>
    <row r="424" spans="1:4" ht="15" customHeight="1" x14ac:dyDescent="0.25">
      <c r="A424">
        <v>504300</v>
      </c>
      <c r="B424" t="s">
        <v>1855</v>
      </c>
      <c r="C424">
        <v>504300</v>
      </c>
      <c r="D424" t="s">
        <v>1844</v>
      </c>
    </row>
    <row r="425" spans="1:4" ht="15" customHeight="1" x14ac:dyDescent="0.25">
      <c r="A425">
        <v>504400</v>
      </c>
      <c r="B425" t="s">
        <v>1663</v>
      </c>
      <c r="C425">
        <v>504400</v>
      </c>
      <c r="D425" t="s">
        <v>1844</v>
      </c>
    </row>
    <row r="426" spans="1:4" ht="15" customHeight="1" x14ac:dyDescent="0.25">
      <c r="A426">
        <v>504500</v>
      </c>
      <c r="B426" t="s">
        <v>1856</v>
      </c>
      <c r="C426">
        <v>504500</v>
      </c>
      <c r="D426" t="s">
        <v>1844</v>
      </c>
    </row>
    <row r="427" spans="1:4" ht="15" customHeight="1" x14ac:dyDescent="0.25">
      <c r="A427">
        <v>504600</v>
      </c>
      <c r="B427" t="s">
        <v>1857</v>
      </c>
      <c r="C427">
        <v>504600</v>
      </c>
      <c r="D427" t="s">
        <v>1844</v>
      </c>
    </row>
    <row r="428" spans="1:4" ht="15" customHeight="1" x14ac:dyDescent="0.25">
      <c r="A428">
        <v>504700</v>
      </c>
      <c r="B428" t="s">
        <v>1858</v>
      </c>
      <c r="C428">
        <v>504700</v>
      </c>
      <c r="D428" t="s">
        <v>1844</v>
      </c>
    </row>
    <row r="429" spans="1:4" ht="15" customHeight="1" x14ac:dyDescent="0.25">
      <c r="A429">
        <v>505100</v>
      </c>
      <c r="B429" t="s">
        <v>1859</v>
      </c>
      <c r="C429">
        <v>505100</v>
      </c>
      <c r="D429" t="s">
        <v>1844</v>
      </c>
    </row>
    <row r="430" spans="1:4" ht="15" customHeight="1" x14ac:dyDescent="0.25">
      <c r="A430">
        <v>505200</v>
      </c>
      <c r="B430" t="s">
        <v>1860</v>
      </c>
      <c r="C430">
        <v>505200</v>
      </c>
      <c r="D430" t="s">
        <v>1844</v>
      </c>
    </row>
    <row r="431" spans="1:4" ht="15" customHeight="1" x14ac:dyDescent="0.25">
      <c r="A431">
        <v>505300</v>
      </c>
      <c r="B431" t="s">
        <v>1861</v>
      </c>
      <c r="C431">
        <v>505300</v>
      </c>
      <c r="D431" t="s">
        <v>1844</v>
      </c>
    </row>
    <row r="432" spans="1:4" ht="15" customHeight="1" x14ac:dyDescent="0.25">
      <c r="A432">
        <v>505400</v>
      </c>
      <c r="B432" t="s">
        <v>1862</v>
      </c>
      <c r="C432">
        <v>505400</v>
      </c>
      <c r="D432" t="s">
        <v>1844</v>
      </c>
    </row>
    <row r="433" spans="1:4" ht="15" customHeight="1" x14ac:dyDescent="0.25">
      <c r="A433">
        <v>505500</v>
      </c>
      <c r="B433" t="s">
        <v>1863</v>
      </c>
      <c r="C433">
        <v>505500</v>
      </c>
      <c r="D433" t="s">
        <v>1844</v>
      </c>
    </row>
    <row r="434" spans="1:4" ht="15" customHeight="1" x14ac:dyDescent="0.25">
      <c r="A434">
        <v>505600</v>
      </c>
      <c r="B434" t="s">
        <v>1864</v>
      </c>
      <c r="C434">
        <v>505600</v>
      </c>
      <c r="D434" t="s">
        <v>1844</v>
      </c>
    </row>
    <row r="435" spans="1:4" ht="15" customHeight="1" x14ac:dyDescent="0.25">
      <c r="A435">
        <v>505700</v>
      </c>
      <c r="B435" t="s">
        <v>1865</v>
      </c>
      <c r="C435">
        <v>505700</v>
      </c>
      <c r="D435" t="s">
        <v>1844</v>
      </c>
    </row>
    <row r="436" spans="1:4" ht="15" customHeight="1" x14ac:dyDescent="0.25">
      <c r="A436">
        <v>505800</v>
      </c>
      <c r="B436" t="s">
        <v>1866</v>
      </c>
      <c r="C436">
        <v>505800</v>
      </c>
      <c r="D436" t="s">
        <v>1844</v>
      </c>
    </row>
    <row r="437" spans="1:4" ht="15" customHeight="1" x14ac:dyDescent="0.25">
      <c r="A437">
        <v>506001</v>
      </c>
      <c r="B437" t="s">
        <v>1867</v>
      </c>
      <c r="C437">
        <v>506001</v>
      </c>
      <c r="D437" t="s">
        <v>1844</v>
      </c>
    </row>
    <row r="438" spans="1:4" ht="15" customHeight="1" x14ac:dyDescent="0.25">
      <c r="A438">
        <v>506002</v>
      </c>
      <c r="B438" t="s">
        <v>1868</v>
      </c>
      <c r="C438">
        <v>506002</v>
      </c>
      <c r="D438" t="s">
        <v>1844</v>
      </c>
    </row>
    <row r="439" spans="1:4" ht="15" customHeight="1" x14ac:dyDescent="0.25">
      <c r="A439">
        <v>506100</v>
      </c>
      <c r="B439" t="s">
        <v>1869</v>
      </c>
      <c r="C439">
        <v>506100</v>
      </c>
      <c r="D439" t="s">
        <v>1844</v>
      </c>
    </row>
    <row r="440" spans="1:4" ht="15" customHeight="1" x14ac:dyDescent="0.25">
      <c r="A440">
        <v>506200</v>
      </c>
      <c r="B440" t="s">
        <v>1870</v>
      </c>
      <c r="C440">
        <v>506200</v>
      </c>
      <c r="D440" t="s">
        <v>1844</v>
      </c>
    </row>
    <row r="441" spans="1:4" ht="15" customHeight="1" x14ac:dyDescent="0.25">
      <c r="A441">
        <v>506300</v>
      </c>
      <c r="B441" t="s">
        <v>1871</v>
      </c>
      <c r="C441">
        <v>506300</v>
      </c>
      <c r="D441" t="s">
        <v>1844</v>
      </c>
    </row>
    <row r="442" spans="1:4" ht="15" customHeight="1" x14ac:dyDescent="0.25">
      <c r="A442">
        <v>506400</v>
      </c>
      <c r="B442" t="s">
        <v>1872</v>
      </c>
      <c r="C442">
        <v>506400</v>
      </c>
      <c r="D442" t="s">
        <v>1844</v>
      </c>
    </row>
    <row r="443" spans="1:4" ht="15" customHeight="1" x14ac:dyDescent="0.25">
      <c r="A443">
        <v>508000</v>
      </c>
      <c r="B443" t="s">
        <v>1873</v>
      </c>
      <c r="C443">
        <v>508000</v>
      </c>
      <c r="D443" t="s">
        <v>1844</v>
      </c>
    </row>
    <row r="444" spans="1:4" ht="15" customHeight="1" x14ac:dyDescent="0.25">
      <c r="A444">
        <v>508100</v>
      </c>
      <c r="B444" t="s">
        <v>1874</v>
      </c>
      <c r="C444">
        <v>508100</v>
      </c>
      <c r="D444" t="s">
        <v>1844</v>
      </c>
    </row>
    <row r="445" spans="1:4" ht="15" customHeight="1" x14ac:dyDescent="0.25">
      <c r="A445">
        <v>509101</v>
      </c>
      <c r="B445" t="s">
        <v>1875</v>
      </c>
      <c r="C445">
        <v>509101</v>
      </c>
      <c r="D445" t="s">
        <v>1844</v>
      </c>
    </row>
    <row r="446" spans="1:4" ht="15" customHeight="1" x14ac:dyDescent="0.25">
      <c r="A446">
        <v>509102</v>
      </c>
      <c r="B446" t="s">
        <v>1876</v>
      </c>
      <c r="C446">
        <v>509102</v>
      </c>
      <c r="D446" t="s">
        <v>1844</v>
      </c>
    </row>
    <row r="447" spans="1:4" ht="15" customHeight="1" x14ac:dyDescent="0.25">
      <c r="A447">
        <v>509200</v>
      </c>
      <c r="B447" t="s">
        <v>1877</v>
      </c>
      <c r="C447">
        <v>509200</v>
      </c>
      <c r="D447" t="s">
        <v>1844</v>
      </c>
    </row>
    <row r="448" spans="1:4" ht="15" customHeight="1" x14ac:dyDescent="0.25">
      <c r="A448">
        <v>509300</v>
      </c>
      <c r="B448" t="s">
        <v>1878</v>
      </c>
      <c r="C448">
        <v>509300</v>
      </c>
      <c r="D448" t="s">
        <v>1844</v>
      </c>
    </row>
    <row r="449" spans="1:4" ht="15" customHeight="1" x14ac:dyDescent="0.25">
      <c r="A449">
        <v>509400</v>
      </c>
      <c r="B449" t="s">
        <v>1879</v>
      </c>
      <c r="C449">
        <v>509400</v>
      </c>
      <c r="D449" t="s">
        <v>1844</v>
      </c>
    </row>
    <row r="450" spans="1:4" ht="15" customHeight="1" x14ac:dyDescent="0.25">
      <c r="A450">
        <v>510100</v>
      </c>
      <c r="B450" t="s">
        <v>1880</v>
      </c>
      <c r="C450">
        <v>510100</v>
      </c>
      <c r="D450" t="s">
        <v>1844</v>
      </c>
    </row>
    <row r="451" spans="1:4" ht="15" customHeight="1" x14ac:dyDescent="0.25">
      <c r="A451">
        <v>510200</v>
      </c>
      <c r="B451" t="s">
        <v>1881</v>
      </c>
      <c r="C451">
        <v>510200</v>
      </c>
      <c r="D451" t="s">
        <v>1844</v>
      </c>
    </row>
    <row r="452" spans="1:4" ht="15" customHeight="1" x14ac:dyDescent="0.25">
      <c r="A452">
        <v>510300</v>
      </c>
      <c r="B452" t="s">
        <v>1882</v>
      </c>
      <c r="C452">
        <v>510300</v>
      </c>
      <c r="D452" t="s">
        <v>1844</v>
      </c>
    </row>
    <row r="453" spans="1:4" ht="15" customHeight="1" x14ac:dyDescent="0.25">
      <c r="A453">
        <v>510400</v>
      </c>
      <c r="B453" t="s">
        <v>1883</v>
      </c>
      <c r="C453">
        <v>510400</v>
      </c>
      <c r="D453" t="s">
        <v>1844</v>
      </c>
    </row>
    <row r="454" spans="1:4" ht="15" customHeight="1" x14ac:dyDescent="0.25">
      <c r="A454">
        <v>510500</v>
      </c>
      <c r="B454" t="s">
        <v>1884</v>
      </c>
      <c r="C454">
        <v>510500</v>
      </c>
      <c r="D454" t="s">
        <v>1844</v>
      </c>
    </row>
    <row r="455" spans="1:4" ht="15" customHeight="1" x14ac:dyDescent="0.25">
      <c r="A455">
        <v>510600</v>
      </c>
      <c r="B455" t="s">
        <v>1885</v>
      </c>
      <c r="C455">
        <v>510600</v>
      </c>
      <c r="D455" t="s">
        <v>1844</v>
      </c>
    </row>
    <row r="456" spans="1:4" ht="15" customHeight="1" x14ac:dyDescent="0.25">
      <c r="A456">
        <v>510700</v>
      </c>
      <c r="B456" t="s">
        <v>1886</v>
      </c>
      <c r="C456">
        <v>510700</v>
      </c>
      <c r="D456" t="s">
        <v>1844</v>
      </c>
    </row>
    <row r="457" spans="1:4" ht="15" customHeight="1" x14ac:dyDescent="0.25">
      <c r="A457">
        <v>510800</v>
      </c>
      <c r="B457" t="s">
        <v>1887</v>
      </c>
      <c r="C457">
        <v>510800</v>
      </c>
      <c r="D457" t="s">
        <v>1844</v>
      </c>
    </row>
    <row r="458" spans="1:4" ht="15" customHeight="1" x14ac:dyDescent="0.25">
      <c r="A458">
        <v>511100</v>
      </c>
      <c r="B458" t="s">
        <v>1888</v>
      </c>
      <c r="C458">
        <v>511100</v>
      </c>
      <c r="D458" t="s">
        <v>1844</v>
      </c>
    </row>
    <row r="459" spans="1:4" ht="15" customHeight="1" x14ac:dyDescent="0.25">
      <c r="A459">
        <v>511200</v>
      </c>
      <c r="B459" t="s">
        <v>1889</v>
      </c>
      <c r="C459">
        <v>511200</v>
      </c>
      <c r="D459" t="s">
        <v>1844</v>
      </c>
    </row>
    <row r="460" spans="1:4" ht="15" customHeight="1" x14ac:dyDescent="0.25">
      <c r="A460">
        <v>511300</v>
      </c>
      <c r="B460" t="s">
        <v>1890</v>
      </c>
      <c r="C460">
        <v>511300</v>
      </c>
      <c r="D460" t="s">
        <v>1844</v>
      </c>
    </row>
    <row r="461" spans="1:4" ht="15" customHeight="1" x14ac:dyDescent="0.25">
      <c r="A461">
        <v>511401</v>
      </c>
      <c r="B461" t="s">
        <v>1891</v>
      </c>
      <c r="C461">
        <v>511401</v>
      </c>
      <c r="D461" t="s">
        <v>1844</v>
      </c>
    </row>
    <row r="462" spans="1:4" ht="15" customHeight="1" x14ac:dyDescent="0.25">
      <c r="A462">
        <v>511402</v>
      </c>
      <c r="B462" t="s">
        <v>1892</v>
      </c>
      <c r="C462">
        <v>511402</v>
      </c>
      <c r="D462" t="s">
        <v>1844</v>
      </c>
    </row>
    <row r="463" spans="1:4" ht="15" customHeight="1" x14ac:dyDescent="0.25">
      <c r="A463">
        <v>512100</v>
      </c>
      <c r="B463" t="s">
        <v>1893</v>
      </c>
      <c r="C463">
        <v>512100</v>
      </c>
      <c r="D463" t="s">
        <v>1844</v>
      </c>
    </row>
    <row r="464" spans="1:4" ht="15" customHeight="1" x14ac:dyDescent="0.25">
      <c r="A464">
        <v>512200</v>
      </c>
      <c r="B464" t="s">
        <v>1894</v>
      </c>
      <c r="C464">
        <v>512200</v>
      </c>
      <c r="D464" t="s">
        <v>1844</v>
      </c>
    </row>
    <row r="465" spans="1:4" ht="15" customHeight="1" x14ac:dyDescent="0.25">
      <c r="A465">
        <v>512300</v>
      </c>
      <c r="B465" t="s">
        <v>1895</v>
      </c>
      <c r="C465">
        <v>512300</v>
      </c>
      <c r="D465" t="s">
        <v>1844</v>
      </c>
    </row>
    <row r="466" spans="1:4" ht="15" customHeight="1" x14ac:dyDescent="0.25">
      <c r="A466">
        <v>512400</v>
      </c>
      <c r="B466" t="s">
        <v>1896</v>
      </c>
      <c r="C466">
        <v>512400</v>
      </c>
      <c r="D466" t="s">
        <v>1844</v>
      </c>
    </row>
    <row r="467" spans="1:4" ht="15" customHeight="1" x14ac:dyDescent="0.25">
      <c r="A467">
        <v>512600</v>
      </c>
      <c r="B467" t="s">
        <v>1897</v>
      </c>
      <c r="C467">
        <v>512600</v>
      </c>
      <c r="D467" t="s">
        <v>1844</v>
      </c>
    </row>
    <row r="468" spans="1:4" ht="15" customHeight="1" x14ac:dyDescent="0.25">
      <c r="A468">
        <v>513000</v>
      </c>
      <c r="B468" t="s">
        <v>1898</v>
      </c>
      <c r="C468">
        <v>513000</v>
      </c>
      <c r="D468" t="s">
        <v>1844</v>
      </c>
    </row>
    <row r="469" spans="1:4" ht="15" customHeight="1" x14ac:dyDescent="0.25">
      <c r="A469">
        <v>514000</v>
      </c>
      <c r="B469" t="s">
        <v>1899</v>
      </c>
      <c r="C469">
        <v>514000</v>
      </c>
      <c r="D469" t="s">
        <v>1844</v>
      </c>
    </row>
    <row r="470" spans="1:4" ht="15" customHeight="1" x14ac:dyDescent="0.25">
      <c r="A470">
        <v>515100</v>
      </c>
      <c r="B470" t="s">
        <v>1900</v>
      </c>
      <c r="C470">
        <v>515100</v>
      </c>
      <c r="D470" t="s">
        <v>1844</v>
      </c>
    </row>
    <row r="471" spans="1:4" ht="15" customHeight="1" x14ac:dyDescent="0.25">
      <c r="A471">
        <v>515200</v>
      </c>
      <c r="B471" t="s">
        <v>1901</v>
      </c>
      <c r="C471">
        <v>515200</v>
      </c>
      <c r="D471" t="s">
        <v>1844</v>
      </c>
    </row>
    <row r="472" spans="1:4" ht="15" customHeight="1" x14ac:dyDescent="0.25">
      <c r="A472">
        <v>515300</v>
      </c>
      <c r="B472" t="s">
        <v>1902</v>
      </c>
      <c r="C472">
        <v>515300</v>
      </c>
      <c r="D472" t="s">
        <v>1844</v>
      </c>
    </row>
    <row r="473" spans="1:4" ht="15" customHeight="1" x14ac:dyDescent="0.25">
      <c r="A473">
        <v>515400</v>
      </c>
      <c r="B473" t="s">
        <v>1903</v>
      </c>
      <c r="C473">
        <v>515400</v>
      </c>
      <c r="D473" t="s">
        <v>1844</v>
      </c>
    </row>
    <row r="474" spans="1:4" ht="15" customHeight="1" x14ac:dyDescent="0.25">
      <c r="A474">
        <v>515500</v>
      </c>
      <c r="B474" t="s">
        <v>1904</v>
      </c>
      <c r="C474">
        <v>515500</v>
      </c>
      <c r="D474" t="s">
        <v>1844</v>
      </c>
    </row>
    <row r="475" spans="1:4" ht="15" customHeight="1" x14ac:dyDescent="0.25">
      <c r="A475">
        <v>516100</v>
      </c>
      <c r="B475" t="s">
        <v>1905</v>
      </c>
      <c r="C475">
        <v>516100</v>
      </c>
      <c r="D475" t="s">
        <v>1844</v>
      </c>
    </row>
    <row r="476" spans="1:4" ht="15" customHeight="1" x14ac:dyDescent="0.25">
      <c r="A476">
        <v>516200</v>
      </c>
      <c r="B476" t="s">
        <v>1906</v>
      </c>
      <c r="C476">
        <v>516200</v>
      </c>
      <c r="D476" t="s">
        <v>1844</v>
      </c>
    </row>
    <row r="477" spans="1:4" ht="15" customHeight="1" x14ac:dyDescent="0.25">
      <c r="A477">
        <v>516300</v>
      </c>
      <c r="B477" t="s">
        <v>1907</v>
      </c>
      <c r="C477">
        <v>516300</v>
      </c>
      <c r="D477" t="s">
        <v>1844</v>
      </c>
    </row>
    <row r="478" spans="1:4" ht="15" customHeight="1" x14ac:dyDescent="0.25">
      <c r="A478">
        <v>517100</v>
      </c>
      <c r="B478" t="s">
        <v>1908</v>
      </c>
      <c r="C478">
        <v>517100</v>
      </c>
      <c r="D478" t="s">
        <v>1844</v>
      </c>
    </row>
    <row r="479" spans="1:4" ht="15" customHeight="1" x14ac:dyDescent="0.25">
      <c r="A479">
        <v>517200</v>
      </c>
      <c r="B479" t="s">
        <v>1909</v>
      </c>
      <c r="C479">
        <v>517200</v>
      </c>
      <c r="D479" t="s">
        <v>1844</v>
      </c>
    </row>
    <row r="480" spans="1:4" ht="15" customHeight="1" x14ac:dyDescent="0.25">
      <c r="A480">
        <v>518000</v>
      </c>
      <c r="B480" t="s">
        <v>1910</v>
      </c>
      <c r="C480">
        <v>518000</v>
      </c>
      <c r="D480" t="s">
        <v>1844</v>
      </c>
    </row>
    <row r="481" spans="1:4" ht="15" customHeight="1" x14ac:dyDescent="0.25">
      <c r="A481">
        <v>519000</v>
      </c>
      <c r="B481" t="s">
        <v>1911</v>
      </c>
      <c r="C481">
        <v>519000</v>
      </c>
      <c r="D481" t="s">
        <v>1844</v>
      </c>
    </row>
    <row r="482" spans="1:4" ht="15" customHeight="1" x14ac:dyDescent="0.25">
      <c r="A482">
        <v>519100</v>
      </c>
      <c r="B482" t="s">
        <v>1912</v>
      </c>
      <c r="C482">
        <v>519100</v>
      </c>
      <c r="D482" t="s">
        <v>1844</v>
      </c>
    </row>
    <row r="483" spans="1:4" ht="15" customHeight="1" x14ac:dyDescent="0.25">
      <c r="A483">
        <v>519200</v>
      </c>
      <c r="B483" t="s">
        <v>1913</v>
      </c>
      <c r="C483">
        <v>519200</v>
      </c>
      <c r="D483" t="s">
        <v>1844</v>
      </c>
    </row>
    <row r="484" spans="1:4" ht="15" customHeight="1" x14ac:dyDescent="0.25">
      <c r="A484">
        <v>519301</v>
      </c>
      <c r="B484" t="s">
        <v>1914</v>
      </c>
      <c r="C484">
        <v>519301</v>
      </c>
      <c r="D484" t="s">
        <v>1844</v>
      </c>
    </row>
    <row r="485" spans="1:4" ht="15" customHeight="1" x14ac:dyDescent="0.25">
      <c r="A485">
        <v>519303</v>
      </c>
      <c r="B485" t="s">
        <v>1915</v>
      </c>
      <c r="C485">
        <v>519303</v>
      </c>
      <c r="D485" t="s">
        <v>1844</v>
      </c>
    </row>
    <row r="486" spans="1:4" ht="15" customHeight="1" x14ac:dyDescent="0.25">
      <c r="A486">
        <v>519304</v>
      </c>
      <c r="B486" t="s">
        <v>1764</v>
      </c>
      <c r="C486">
        <v>519304</v>
      </c>
      <c r="D486" t="s">
        <v>1844</v>
      </c>
    </row>
    <row r="487" spans="1:4" ht="15" customHeight="1" x14ac:dyDescent="0.25">
      <c r="A487">
        <v>519305</v>
      </c>
      <c r="B487" t="s">
        <v>1916</v>
      </c>
      <c r="C487">
        <v>519305</v>
      </c>
      <c r="D487" t="s">
        <v>1844</v>
      </c>
    </row>
    <row r="488" spans="1:4" ht="15" customHeight="1" x14ac:dyDescent="0.25">
      <c r="A488">
        <v>519306</v>
      </c>
      <c r="B488" t="s">
        <v>1917</v>
      </c>
      <c r="C488">
        <v>519306</v>
      </c>
      <c r="D488" t="s">
        <v>1844</v>
      </c>
    </row>
    <row r="489" spans="1:4" ht="15" customHeight="1" x14ac:dyDescent="0.25">
      <c r="A489">
        <v>519307</v>
      </c>
      <c r="B489" t="s">
        <v>1918</v>
      </c>
      <c r="C489">
        <v>519307</v>
      </c>
      <c r="D489" t="s">
        <v>1844</v>
      </c>
    </row>
    <row r="490" spans="1:4" ht="15" customHeight="1" x14ac:dyDescent="0.25">
      <c r="A490">
        <v>519400</v>
      </c>
      <c r="B490" t="s">
        <v>1919</v>
      </c>
      <c r="C490">
        <v>519400</v>
      </c>
      <c r="D490" t="s">
        <v>1844</v>
      </c>
    </row>
    <row r="491" spans="1:4" ht="15" customHeight="1" x14ac:dyDescent="0.25">
      <c r="A491">
        <v>519501</v>
      </c>
      <c r="B491" t="s">
        <v>1920</v>
      </c>
      <c r="C491">
        <v>519501</v>
      </c>
      <c r="D491" t="s">
        <v>1844</v>
      </c>
    </row>
    <row r="492" spans="1:4" ht="15" customHeight="1" x14ac:dyDescent="0.25">
      <c r="A492">
        <v>519502</v>
      </c>
      <c r="B492" t="s">
        <v>1921</v>
      </c>
      <c r="C492">
        <v>519502</v>
      </c>
      <c r="D492" t="s">
        <v>1844</v>
      </c>
    </row>
    <row r="493" spans="1:4" ht="15" customHeight="1" x14ac:dyDescent="0.25">
      <c r="A493">
        <v>519600</v>
      </c>
      <c r="B493" t="s">
        <v>1922</v>
      </c>
      <c r="C493">
        <v>519600</v>
      </c>
      <c r="D493" t="s">
        <v>1844</v>
      </c>
    </row>
    <row r="494" spans="1:4" ht="15" customHeight="1" x14ac:dyDescent="0.25">
      <c r="A494">
        <v>521100</v>
      </c>
      <c r="B494" t="s">
        <v>1923</v>
      </c>
      <c r="C494">
        <v>521100</v>
      </c>
      <c r="D494" t="s">
        <v>1844</v>
      </c>
    </row>
    <row r="495" spans="1:4" ht="15" customHeight="1" x14ac:dyDescent="0.25">
      <c r="A495">
        <v>521200</v>
      </c>
      <c r="B495" t="s">
        <v>1924</v>
      </c>
      <c r="C495">
        <v>521200</v>
      </c>
      <c r="D495" t="s">
        <v>1844</v>
      </c>
    </row>
    <row r="496" spans="1:4" ht="15" customHeight="1" x14ac:dyDescent="0.25">
      <c r="A496">
        <v>522100</v>
      </c>
      <c r="B496" t="s">
        <v>1925</v>
      </c>
      <c r="C496">
        <v>522100</v>
      </c>
      <c r="D496" t="s">
        <v>1844</v>
      </c>
    </row>
    <row r="497" spans="1:4" ht="15" customHeight="1" x14ac:dyDescent="0.25">
      <c r="A497">
        <v>522200</v>
      </c>
      <c r="B497" t="s">
        <v>1926</v>
      </c>
      <c r="C497">
        <v>522200</v>
      </c>
      <c r="D497" t="s">
        <v>1844</v>
      </c>
    </row>
    <row r="498" spans="1:4" ht="15" customHeight="1" x14ac:dyDescent="0.25">
      <c r="A498">
        <v>522300</v>
      </c>
      <c r="B498" t="s">
        <v>1927</v>
      </c>
      <c r="C498">
        <v>522300</v>
      </c>
      <c r="D498" t="s">
        <v>1844</v>
      </c>
    </row>
    <row r="499" spans="1:4" ht="15" customHeight="1" x14ac:dyDescent="0.25">
      <c r="A499">
        <v>522400</v>
      </c>
      <c r="B499" t="s">
        <v>1928</v>
      </c>
      <c r="C499">
        <v>522400</v>
      </c>
      <c r="D499" t="s">
        <v>1844</v>
      </c>
    </row>
    <row r="500" spans="1:4" ht="15" customHeight="1" x14ac:dyDescent="0.25">
      <c r="A500">
        <v>523100</v>
      </c>
      <c r="B500" t="s">
        <v>1929</v>
      </c>
      <c r="C500">
        <v>523100</v>
      </c>
      <c r="D500" t="s">
        <v>1844</v>
      </c>
    </row>
    <row r="501" spans="1:4" ht="15" customHeight="1" x14ac:dyDescent="0.25">
      <c r="A501">
        <v>523200</v>
      </c>
      <c r="B501" t="s">
        <v>1930</v>
      </c>
      <c r="C501">
        <v>523200</v>
      </c>
      <c r="D501" t="s">
        <v>1844</v>
      </c>
    </row>
    <row r="502" spans="1:4" ht="15" customHeight="1" x14ac:dyDescent="0.25">
      <c r="A502">
        <v>524000</v>
      </c>
      <c r="B502" t="s">
        <v>1931</v>
      </c>
      <c r="C502">
        <v>524000</v>
      </c>
      <c r="D502" t="s">
        <v>1844</v>
      </c>
    </row>
    <row r="503" spans="1:4" ht="15" customHeight="1" x14ac:dyDescent="0.25">
      <c r="A503">
        <v>525100</v>
      </c>
      <c r="B503" t="s">
        <v>1932</v>
      </c>
      <c r="C503">
        <v>525100</v>
      </c>
      <c r="D503" t="s">
        <v>115</v>
      </c>
    </row>
    <row r="504" spans="1:4" ht="15" customHeight="1" x14ac:dyDescent="0.25">
      <c r="A504">
        <v>525101</v>
      </c>
      <c r="B504" t="s">
        <v>1933</v>
      </c>
      <c r="C504">
        <v>525101</v>
      </c>
      <c r="D504" t="s">
        <v>115</v>
      </c>
    </row>
    <row r="505" spans="1:4" ht="15" customHeight="1" x14ac:dyDescent="0.25">
      <c r="A505">
        <v>525102</v>
      </c>
      <c r="B505" t="s">
        <v>1934</v>
      </c>
      <c r="C505">
        <v>525102</v>
      </c>
      <c r="D505" t="s">
        <v>115</v>
      </c>
    </row>
    <row r="506" spans="1:4" ht="15" customHeight="1" x14ac:dyDescent="0.25">
      <c r="A506">
        <v>525200</v>
      </c>
      <c r="B506" t="s">
        <v>1935</v>
      </c>
      <c r="C506">
        <v>525200</v>
      </c>
      <c r="D506" t="s">
        <v>1809</v>
      </c>
    </row>
    <row r="507" spans="1:4" ht="15" customHeight="1" x14ac:dyDescent="0.25">
      <c r="A507">
        <v>525300</v>
      </c>
      <c r="B507" t="s">
        <v>1936</v>
      </c>
      <c r="C507">
        <v>525300</v>
      </c>
      <c r="D507" t="s">
        <v>1809</v>
      </c>
    </row>
    <row r="508" spans="1:4" ht="15" customHeight="1" x14ac:dyDescent="0.25">
      <c r="A508">
        <v>525400</v>
      </c>
      <c r="B508" t="s">
        <v>1937</v>
      </c>
      <c r="C508">
        <v>525400</v>
      </c>
      <c r="D508" t="s">
        <v>115</v>
      </c>
    </row>
    <row r="509" spans="1:4" ht="15" customHeight="1" x14ac:dyDescent="0.25">
      <c r="A509">
        <v>525500</v>
      </c>
      <c r="B509" t="s">
        <v>1938</v>
      </c>
      <c r="C509">
        <v>525500</v>
      </c>
      <c r="D509" t="s">
        <v>1939</v>
      </c>
    </row>
    <row r="510" spans="1:4" ht="15" customHeight="1" x14ac:dyDescent="0.25">
      <c r="A510">
        <v>525501</v>
      </c>
      <c r="B510" t="s">
        <v>1940</v>
      </c>
      <c r="C510">
        <v>525501</v>
      </c>
      <c r="D510" t="s">
        <v>115</v>
      </c>
    </row>
    <row r="511" spans="1:4" ht="15" customHeight="1" x14ac:dyDescent="0.25">
      <c r="A511">
        <v>525600</v>
      </c>
      <c r="B511" t="s">
        <v>1941</v>
      </c>
      <c r="C511">
        <v>525600</v>
      </c>
      <c r="D511" t="s">
        <v>1809</v>
      </c>
    </row>
    <row r="512" spans="1:4" ht="15" customHeight="1" x14ac:dyDescent="0.25">
      <c r="A512">
        <v>525700</v>
      </c>
      <c r="B512" t="s">
        <v>1942</v>
      </c>
      <c r="C512">
        <v>525700</v>
      </c>
      <c r="D512" t="s">
        <v>115</v>
      </c>
    </row>
    <row r="513" spans="1:4" ht="15" customHeight="1" x14ac:dyDescent="0.25">
      <c r="A513">
        <v>525800</v>
      </c>
      <c r="B513" t="s">
        <v>1943</v>
      </c>
      <c r="C513">
        <v>525800</v>
      </c>
      <c r="D513" t="s">
        <v>115</v>
      </c>
    </row>
    <row r="514" spans="1:4" ht="15" customHeight="1" x14ac:dyDescent="0.25">
      <c r="A514">
        <v>525900</v>
      </c>
      <c r="B514" t="s">
        <v>1944</v>
      </c>
      <c r="C514">
        <v>525900</v>
      </c>
      <c r="D514" t="s">
        <v>115</v>
      </c>
    </row>
    <row r="515" spans="1:4" ht="15" customHeight="1" x14ac:dyDescent="0.25">
      <c r="A515">
        <v>525901</v>
      </c>
      <c r="B515" t="s">
        <v>1945</v>
      </c>
      <c r="C515">
        <v>525901</v>
      </c>
      <c r="D515" t="s">
        <v>115</v>
      </c>
    </row>
    <row r="516" spans="1:4" ht="15" customHeight="1" x14ac:dyDescent="0.25">
      <c r="A516">
        <v>525902</v>
      </c>
      <c r="B516" t="s">
        <v>1946</v>
      </c>
      <c r="C516">
        <v>525902</v>
      </c>
      <c r="D516" t="s">
        <v>115</v>
      </c>
    </row>
    <row r="517" spans="1:4" ht="15" customHeight="1" x14ac:dyDescent="0.25">
      <c r="A517">
        <v>529100</v>
      </c>
      <c r="B517" t="s">
        <v>1947</v>
      </c>
      <c r="C517">
        <v>529100</v>
      </c>
      <c r="D517" t="s">
        <v>446</v>
      </c>
    </row>
    <row r="518" spans="1:4" ht="15" customHeight="1" x14ac:dyDescent="0.25">
      <c r="A518">
        <v>529101</v>
      </c>
      <c r="B518" t="s">
        <v>1948</v>
      </c>
      <c r="C518">
        <v>529101</v>
      </c>
      <c r="D518" t="s">
        <v>446</v>
      </c>
    </row>
    <row r="519" spans="1:4" ht="15" customHeight="1" x14ac:dyDescent="0.25">
      <c r="A519">
        <v>529200</v>
      </c>
      <c r="B519" t="s">
        <v>1949</v>
      </c>
      <c r="C519">
        <v>529200</v>
      </c>
      <c r="D519" t="s">
        <v>446</v>
      </c>
    </row>
    <row r="520" spans="1:4" ht="15" customHeight="1" x14ac:dyDescent="0.25">
      <c r="A520">
        <v>530100</v>
      </c>
      <c r="B520" t="s">
        <v>1950</v>
      </c>
      <c r="C520">
        <v>530100</v>
      </c>
      <c r="D520" t="s">
        <v>446</v>
      </c>
    </row>
    <row r="521" spans="1:4" ht="15" customHeight="1" x14ac:dyDescent="0.25">
      <c r="A521">
        <v>530200</v>
      </c>
      <c r="B521" t="s">
        <v>1951</v>
      </c>
      <c r="C521">
        <v>530200</v>
      </c>
      <c r="D521" t="s">
        <v>446</v>
      </c>
    </row>
    <row r="522" spans="1:4" ht="15" customHeight="1" x14ac:dyDescent="0.25">
      <c r="A522">
        <v>531100</v>
      </c>
      <c r="B522" t="s">
        <v>1952</v>
      </c>
      <c r="C522">
        <v>531100</v>
      </c>
      <c r="D522" t="s">
        <v>115</v>
      </c>
    </row>
    <row r="523" spans="1:4" ht="15" customHeight="1" x14ac:dyDescent="0.25">
      <c r="A523">
        <v>531200</v>
      </c>
      <c r="B523" t="s">
        <v>1953</v>
      </c>
      <c r="C523">
        <v>531200</v>
      </c>
      <c r="D523" t="s">
        <v>115</v>
      </c>
    </row>
    <row r="524" spans="1:4" ht="15" customHeight="1" x14ac:dyDescent="0.25">
      <c r="A524">
        <v>531300</v>
      </c>
      <c r="B524" t="s">
        <v>1954</v>
      </c>
      <c r="C524">
        <v>531300</v>
      </c>
      <c r="D524" t="s">
        <v>115</v>
      </c>
    </row>
    <row r="525" spans="1:4" ht="15" customHeight="1" x14ac:dyDescent="0.25">
      <c r="A525">
        <v>531400</v>
      </c>
      <c r="B525" t="s">
        <v>1955</v>
      </c>
      <c r="C525">
        <v>531400</v>
      </c>
      <c r="D525" t="s">
        <v>115</v>
      </c>
    </row>
    <row r="526" spans="1:4" ht="15" customHeight="1" x14ac:dyDescent="0.25">
      <c r="A526">
        <v>532100</v>
      </c>
      <c r="B526" t="s">
        <v>1956</v>
      </c>
      <c r="C526">
        <v>532100</v>
      </c>
      <c r="D526" t="s">
        <v>115</v>
      </c>
    </row>
    <row r="527" spans="1:4" ht="15" customHeight="1" x14ac:dyDescent="0.25">
      <c r="A527">
        <v>532200</v>
      </c>
      <c r="B527" t="s">
        <v>1957</v>
      </c>
      <c r="C527">
        <v>532200</v>
      </c>
      <c r="D527" t="s">
        <v>115</v>
      </c>
    </row>
    <row r="528" spans="1:4" ht="15" customHeight="1" x14ac:dyDescent="0.25">
      <c r="A528">
        <v>533100</v>
      </c>
      <c r="B528" t="s">
        <v>1958</v>
      </c>
      <c r="C528">
        <v>533100</v>
      </c>
      <c r="D528" t="s">
        <v>115</v>
      </c>
    </row>
    <row r="529" spans="1:4" ht="15" customHeight="1" x14ac:dyDescent="0.25">
      <c r="A529">
        <v>533200</v>
      </c>
      <c r="B529" t="s">
        <v>1959</v>
      </c>
      <c r="C529">
        <v>533200</v>
      </c>
      <c r="D529" t="s">
        <v>115</v>
      </c>
    </row>
    <row r="530" spans="1:4" ht="15" customHeight="1" x14ac:dyDescent="0.25">
      <c r="A530">
        <v>534100</v>
      </c>
      <c r="B530" t="s">
        <v>1960</v>
      </c>
      <c r="C530">
        <v>534100</v>
      </c>
      <c r="D530" t="s">
        <v>115</v>
      </c>
    </row>
    <row r="531" spans="1:4" ht="15" customHeight="1" x14ac:dyDescent="0.25">
      <c r="A531">
        <v>534200</v>
      </c>
      <c r="B531" t="s">
        <v>1961</v>
      </c>
      <c r="C531">
        <v>534200</v>
      </c>
      <c r="D531" t="s">
        <v>115</v>
      </c>
    </row>
    <row r="532" spans="1:4" ht="15" customHeight="1" x14ac:dyDescent="0.25">
      <c r="A532">
        <v>541000</v>
      </c>
      <c r="B532" t="s">
        <v>1962</v>
      </c>
      <c r="C532">
        <v>541000</v>
      </c>
      <c r="D532" t="s">
        <v>115</v>
      </c>
    </row>
    <row r="533" spans="1:4" ht="15" customHeight="1" x14ac:dyDescent="0.25">
      <c r="A533">
        <v>542100</v>
      </c>
      <c r="B533" t="s">
        <v>1963</v>
      </c>
      <c r="C533">
        <v>542100</v>
      </c>
      <c r="D533" t="s">
        <v>115</v>
      </c>
    </row>
    <row r="534" spans="1:4" ht="15" customHeight="1" x14ac:dyDescent="0.25">
      <c r="A534">
        <v>542200</v>
      </c>
      <c r="B534" t="s">
        <v>1964</v>
      </c>
      <c r="C534">
        <v>542200</v>
      </c>
      <c r="D534" t="s">
        <v>115</v>
      </c>
    </row>
    <row r="535" spans="1:4" ht="15" customHeight="1" x14ac:dyDescent="0.25">
      <c r="A535">
        <v>542201</v>
      </c>
      <c r="B535" t="s">
        <v>1965</v>
      </c>
      <c r="C535">
        <v>542201</v>
      </c>
      <c r="D535" t="s">
        <v>115</v>
      </c>
    </row>
    <row r="536" spans="1:4" ht="15" customHeight="1" x14ac:dyDescent="0.25">
      <c r="A536">
        <v>542202</v>
      </c>
      <c r="B536" t="s">
        <v>1966</v>
      </c>
      <c r="C536">
        <v>542202</v>
      </c>
      <c r="D536" t="s">
        <v>115</v>
      </c>
    </row>
    <row r="537" spans="1:4" ht="15" customHeight="1" x14ac:dyDescent="0.25">
      <c r="A537">
        <v>543100</v>
      </c>
      <c r="B537" t="s">
        <v>1967</v>
      </c>
      <c r="C537">
        <v>543100</v>
      </c>
      <c r="D537" t="s">
        <v>115</v>
      </c>
    </row>
    <row r="538" spans="1:4" ht="15" customHeight="1" x14ac:dyDescent="0.25">
      <c r="A538">
        <v>543200</v>
      </c>
      <c r="B538" t="s">
        <v>1968</v>
      </c>
      <c r="C538">
        <v>543200</v>
      </c>
      <c r="D538" t="s">
        <v>115</v>
      </c>
    </row>
    <row r="539" spans="1:4" ht="15" customHeight="1" x14ac:dyDescent="0.25">
      <c r="A539">
        <v>543300</v>
      </c>
      <c r="B539" t="s">
        <v>1969</v>
      </c>
      <c r="C539">
        <v>543300</v>
      </c>
      <c r="D539" t="s">
        <v>115</v>
      </c>
    </row>
    <row r="540" spans="1:4" ht="15" customHeight="1" x14ac:dyDescent="0.25">
      <c r="A540">
        <v>543301</v>
      </c>
      <c r="B540" t="s">
        <v>1970</v>
      </c>
      <c r="C540">
        <v>543301</v>
      </c>
      <c r="D540" t="s">
        <v>115</v>
      </c>
    </row>
    <row r="541" spans="1:4" ht="15" customHeight="1" x14ac:dyDescent="0.25">
      <c r="A541">
        <v>543302</v>
      </c>
      <c r="B541" t="s">
        <v>1971</v>
      </c>
      <c r="C541">
        <v>543302</v>
      </c>
      <c r="D541" t="s">
        <v>115</v>
      </c>
    </row>
    <row r="542" spans="1:4" ht="15" customHeight="1" x14ac:dyDescent="0.25">
      <c r="A542">
        <v>543303</v>
      </c>
      <c r="B542" t="s">
        <v>1972</v>
      </c>
      <c r="C542">
        <v>543303</v>
      </c>
      <c r="D542" t="s">
        <v>115</v>
      </c>
    </row>
    <row r="543" spans="1:4" ht="15" customHeight="1" x14ac:dyDescent="0.25">
      <c r="A543">
        <v>543304</v>
      </c>
      <c r="B543" t="s">
        <v>1973</v>
      </c>
      <c r="C543">
        <v>543304</v>
      </c>
      <c r="D543" t="s">
        <v>115</v>
      </c>
    </row>
    <row r="544" spans="1:4" ht="15" customHeight="1" x14ac:dyDescent="0.25">
      <c r="A544">
        <v>543305</v>
      </c>
      <c r="B544" t="s">
        <v>1974</v>
      </c>
      <c r="C544">
        <v>543305</v>
      </c>
      <c r="D544" t="s">
        <v>115</v>
      </c>
    </row>
    <row r="545" spans="1:4" ht="15" customHeight="1" x14ac:dyDescent="0.25">
      <c r="A545">
        <v>543306</v>
      </c>
      <c r="B545" t="s">
        <v>1975</v>
      </c>
      <c r="C545">
        <v>543306</v>
      </c>
      <c r="D545" t="s">
        <v>115</v>
      </c>
    </row>
    <row r="546" spans="1:4" ht="15" customHeight="1" x14ac:dyDescent="0.25">
      <c r="A546">
        <v>543307</v>
      </c>
      <c r="B546" t="s">
        <v>1976</v>
      </c>
      <c r="C546">
        <v>543307</v>
      </c>
      <c r="D546" t="s">
        <v>115</v>
      </c>
    </row>
    <row r="547" spans="1:4" ht="15" customHeight="1" x14ac:dyDescent="0.25">
      <c r="A547">
        <v>543308</v>
      </c>
      <c r="B547" t="s">
        <v>1977</v>
      </c>
      <c r="C547">
        <v>543308</v>
      </c>
      <c r="D547" t="s">
        <v>115</v>
      </c>
    </row>
    <row r="548" spans="1:4" ht="15" customHeight="1" x14ac:dyDescent="0.25">
      <c r="A548">
        <v>543309</v>
      </c>
      <c r="B548" t="s">
        <v>1978</v>
      </c>
      <c r="C548">
        <v>543309</v>
      </c>
      <c r="D548" t="s">
        <v>115</v>
      </c>
    </row>
    <row r="549" spans="1:4" ht="15" customHeight="1" x14ac:dyDescent="0.25">
      <c r="A549">
        <v>551100</v>
      </c>
      <c r="B549" t="s">
        <v>1979</v>
      </c>
      <c r="C549">
        <v>551100</v>
      </c>
      <c r="D549" t="s">
        <v>1980</v>
      </c>
    </row>
    <row r="550" spans="1:4" ht="15" customHeight="1" x14ac:dyDescent="0.25">
      <c r="A550">
        <v>551200</v>
      </c>
      <c r="B550" t="s">
        <v>1981</v>
      </c>
      <c r="C550">
        <v>551200</v>
      </c>
      <c r="D550" t="s">
        <v>1980</v>
      </c>
    </row>
    <row r="551" spans="1:4" ht="15" customHeight="1" x14ac:dyDescent="0.25">
      <c r="A551">
        <v>551300</v>
      </c>
      <c r="B551" t="s">
        <v>1982</v>
      </c>
      <c r="C551">
        <v>551300</v>
      </c>
      <c r="D551" t="s">
        <v>1980</v>
      </c>
    </row>
    <row r="552" spans="1:4" ht="15" customHeight="1" x14ac:dyDescent="0.25">
      <c r="A552">
        <v>551400</v>
      </c>
      <c r="B552" t="s">
        <v>1983</v>
      </c>
      <c r="C552">
        <v>551400</v>
      </c>
      <c r="D552" t="s">
        <v>1809</v>
      </c>
    </row>
    <row r="553" spans="1:4" ht="15" customHeight="1" x14ac:dyDescent="0.25">
      <c r="A553">
        <v>551500</v>
      </c>
      <c r="B553" t="s">
        <v>1984</v>
      </c>
      <c r="C553">
        <v>551500</v>
      </c>
      <c r="D553" t="s">
        <v>1809</v>
      </c>
    </row>
    <row r="554" spans="1:4" ht="15" customHeight="1" x14ac:dyDescent="0.25">
      <c r="A554">
        <v>551600</v>
      </c>
      <c r="B554" t="s">
        <v>1985</v>
      </c>
      <c r="C554">
        <v>551600</v>
      </c>
      <c r="D554" t="s">
        <v>1809</v>
      </c>
    </row>
    <row r="555" spans="1:4" ht="15" customHeight="1" x14ac:dyDescent="0.25">
      <c r="A555">
        <v>552100</v>
      </c>
      <c r="B555" t="s">
        <v>1986</v>
      </c>
      <c r="C555">
        <v>552100</v>
      </c>
      <c r="D555" t="s">
        <v>1980</v>
      </c>
    </row>
    <row r="556" spans="1:4" ht="15" customHeight="1" x14ac:dyDescent="0.25">
      <c r="A556">
        <v>552200</v>
      </c>
      <c r="B556" t="s">
        <v>1987</v>
      </c>
      <c r="C556">
        <v>552200</v>
      </c>
      <c r="D556" t="s">
        <v>1980</v>
      </c>
    </row>
    <row r="557" spans="1:4" ht="15" customHeight="1" x14ac:dyDescent="0.25">
      <c r="A557">
        <v>552300</v>
      </c>
      <c r="B557" t="s">
        <v>1988</v>
      </c>
      <c r="C557">
        <v>552300</v>
      </c>
      <c r="D557" t="s">
        <v>1980</v>
      </c>
    </row>
    <row r="558" spans="1:4" ht="15" customHeight="1" x14ac:dyDescent="0.25">
      <c r="A558">
        <v>552400</v>
      </c>
      <c r="B558" t="s">
        <v>1989</v>
      </c>
      <c r="C558">
        <v>552400</v>
      </c>
      <c r="D558" t="s">
        <v>1980</v>
      </c>
    </row>
    <row r="559" spans="1:4" ht="15" customHeight="1" x14ac:dyDescent="0.25">
      <c r="A559">
        <v>552500</v>
      </c>
      <c r="B559" t="s">
        <v>1990</v>
      </c>
      <c r="C559">
        <v>552500</v>
      </c>
      <c r="D559" t="s">
        <v>1980</v>
      </c>
    </row>
    <row r="560" spans="1:4" ht="15" customHeight="1" x14ac:dyDescent="0.25">
      <c r="A560">
        <v>552600</v>
      </c>
      <c r="B560" t="s">
        <v>1991</v>
      </c>
      <c r="C560">
        <v>552600</v>
      </c>
      <c r="D560" t="s">
        <v>1980</v>
      </c>
    </row>
    <row r="561" spans="1:4" ht="15" customHeight="1" x14ac:dyDescent="0.25">
      <c r="A561">
        <v>552700</v>
      </c>
      <c r="B561" t="s">
        <v>1992</v>
      </c>
      <c r="C561">
        <v>552700</v>
      </c>
      <c r="D561" t="s">
        <v>1980</v>
      </c>
    </row>
    <row r="562" spans="1:4" ht="15" customHeight="1" x14ac:dyDescent="0.25">
      <c r="A562">
        <v>553100</v>
      </c>
      <c r="B562" t="s">
        <v>1993</v>
      </c>
      <c r="C562">
        <v>553100</v>
      </c>
      <c r="D562" t="s">
        <v>1980</v>
      </c>
    </row>
    <row r="563" spans="1:4" ht="15" customHeight="1" x14ac:dyDescent="0.25">
      <c r="A563">
        <v>553200</v>
      </c>
      <c r="B563" t="s">
        <v>1994</v>
      </c>
      <c r="C563">
        <v>553200</v>
      </c>
      <c r="D563" t="s">
        <v>115</v>
      </c>
    </row>
    <row r="564" spans="1:4" ht="15" customHeight="1" x14ac:dyDescent="0.25">
      <c r="A564">
        <v>559100</v>
      </c>
      <c r="B564" t="s">
        <v>1995</v>
      </c>
      <c r="C564">
        <v>559100</v>
      </c>
      <c r="D564" t="s">
        <v>115</v>
      </c>
    </row>
    <row r="565" spans="1:4" ht="15" customHeight="1" x14ac:dyDescent="0.25">
      <c r="A565">
        <v>559200</v>
      </c>
      <c r="B565" t="s">
        <v>1996</v>
      </c>
      <c r="C565">
        <v>559200</v>
      </c>
      <c r="D565" t="s">
        <v>115</v>
      </c>
    </row>
    <row r="566" spans="1:4" ht="15" customHeight="1" x14ac:dyDescent="0.25">
      <c r="A566">
        <v>568000</v>
      </c>
      <c r="B566" t="s">
        <v>1997</v>
      </c>
      <c r="C566">
        <v>568000</v>
      </c>
      <c r="D566" t="s">
        <v>115</v>
      </c>
    </row>
    <row r="567" spans="1:4" ht="15" customHeight="1" x14ac:dyDescent="0.25">
      <c r="A567">
        <v>569100</v>
      </c>
      <c r="B567" t="s">
        <v>1998</v>
      </c>
      <c r="C567">
        <v>569100</v>
      </c>
      <c r="D567" t="s">
        <v>115</v>
      </c>
    </row>
    <row r="568" spans="1:4" ht="15" customHeight="1" x14ac:dyDescent="0.25">
      <c r="A568">
        <v>569200</v>
      </c>
      <c r="B568" t="s">
        <v>1999</v>
      </c>
      <c r="C568">
        <v>569200</v>
      </c>
      <c r="D568" t="s">
        <v>115</v>
      </c>
    </row>
    <row r="569" spans="1:4" ht="15" customHeight="1" x14ac:dyDescent="0.25">
      <c r="A569">
        <v>569201</v>
      </c>
      <c r="B569" t="s">
        <v>2000</v>
      </c>
      <c r="C569">
        <v>569201</v>
      </c>
      <c r="D569" t="s">
        <v>115</v>
      </c>
    </row>
    <row r="570" spans="1:4" ht="15" customHeight="1" x14ac:dyDescent="0.25">
      <c r="A570">
        <v>569202</v>
      </c>
      <c r="B570" t="s">
        <v>2001</v>
      </c>
      <c r="C570">
        <v>569202</v>
      </c>
      <c r="D570" t="s">
        <v>115</v>
      </c>
    </row>
    <row r="571" spans="1:4" ht="15" customHeight="1" x14ac:dyDescent="0.25">
      <c r="A571">
        <v>569203</v>
      </c>
      <c r="B571" t="s">
        <v>2002</v>
      </c>
      <c r="C571">
        <v>569203</v>
      </c>
      <c r="D571" t="s">
        <v>115</v>
      </c>
    </row>
    <row r="572" spans="1:4" ht="15" customHeight="1" x14ac:dyDescent="0.25">
      <c r="A572">
        <v>569300</v>
      </c>
      <c r="B572" t="s">
        <v>2003</v>
      </c>
      <c r="C572">
        <v>569300</v>
      </c>
      <c r="D572" t="s">
        <v>115</v>
      </c>
    </row>
    <row r="573" spans="1:4" ht="15" customHeight="1" x14ac:dyDescent="0.25">
      <c r="A573">
        <v>569400</v>
      </c>
      <c r="B573" t="s">
        <v>2004</v>
      </c>
      <c r="C573">
        <v>569400</v>
      </c>
      <c r="D573" t="s">
        <v>115</v>
      </c>
    </row>
    <row r="574" spans="1:4" ht="15" customHeight="1" x14ac:dyDescent="0.25">
      <c r="A574">
        <v>569500</v>
      </c>
      <c r="B574" t="s">
        <v>2005</v>
      </c>
      <c r="C574">
        <v>569500</v>
      </c>
      <c r="D574" t="s">
        <v>115</v>
      </c>
    </row>
    <row r="575" spans="1:4" ht="15" customHeight="1" x14ac:dyDescent="0.25">
      <c r="A575">
        <v>569501</v>
      </c>
      <c r="B575" t="s">
        <v>2006</v>
      </c>
      <c r="C575">
        <v>569501</v>
      </c>
      <c r="D575" t="s">
        <v>115</v>
      </c>
    </row>
    <row r="576" spans="1:4" ht="15" customHeight="1" x14ac:dyDescent="0.25">
      <c r="A576">
        <v>571100</v>
      </c>
      <c r="B576" t="s">
        <v>2007</v>
      </c>
      <c r="C576">
        <v>571100</v>
      </c>
      <c r="D576" t="s">
        <v>115</v>
      </c>
    </row>
    <row r="577" spans="1:4" ht="15" customHeight="1" x14ac:dyDescent="0.25">
      <c r="A577">
        <v>571101</v>
      </c>
      <c r="B577" t="s">
        <v>2008</v>
      </c>
      <c r="C577">
        <v>571101</v>
      </c>
      <c r="D577" t="s">
        <v>115</v>
      </c>
    </row>
    <row r="578" spans="1:4" ht="15" customHeight="1" x14ac:dyDescent="0.25">
      <c r="A578">
        <v>571102</v>
      </c>
      <c r="B578" t="s">
        <v>2009</v>
      </c>
      <c r="C578">
        <v>571102</v>
      </c>
      <c r="D578" t="s">
        <v>115</v>
      </c>
    </row>
    <row r="579" spans="1:4" ht="15" customHeight="1" x14ac:dyDescent="0.25">
      <c r="A579">
        <v>571200</v>
      </c>
      <c r="B579" t="s">
        <v>2010</v>
      </c>
      <c r="C579">
        <v>571200</v>
      </c>
      <c r="D579" t="s">
        <v>115</v>
      </c>
    </row>
    <row r="580" spans="1:4" ht="15" customHeight="1" x14ac:dyDescent="0.25">
      <c r="A580">
        <v>571300</v>
      </c>
      <c r="B580" t="s">
        <v>2011</v>
      </c>
      <c r="C580">
        <v>571300</v>
      </c>
      <c r="D580" t="s">
        <v>115</v>
      </c>
    </row>
    <row r="581" spans="1:4" ht="15" customHeight="1" x14ac:dyDescent="0.25">
      <c r="A581">
        <v>571400</v>
      </c>
      <c r="B581" t="s">
        <v>2012</v>
      </c>
      <c r="C581">
        <v>571400</v>
      </c>
      <c r="D581" t="s">
        <v>115</v>
      </c>
    </row>
    <row r="582" spans="1:4" ht="15" customHeight="1" x14ac:dyDescent="0.25">
      <c r="A582">
        <v>571401</v>
      </c>
      <c r="B582" t="s">
        <v>2013</v>
      </c>
      <c r="C582">
        <v>571401</v>
      </c>
      <c r="D582" t="s">
        <v>115</v>
      </c>
    </row>
    <row r="583" spans="1:4" ht="15" customHeight="1" x14ac:dyDescent="0.25">
      <c r="A583">
        <v>571402</v>
      </c>
      <c r="B583" t="s">
        <v>2014</v>
      </c>
      <c r="C583">
        <v>571402</v>
      </c>
      <c r="D583" t="s">
        <v>115</v>
      </c>
    </row>
    <row r="584" spans="1:4" ht="15" customHeight="1" x14ac:dyDescent="0.25">
      <c r="A584">
        <v>571403</v>
      </c>
      <c r="B584" t="s">
        <v>2015</v>
      </c>
      <c r="C584">
        <v>571403</v>
      </c>
      <c r="D584" t="s">
        <v>115</v>
      </c>
    </row>
    <row r="585" spans="1:4" ht="15" customHeight="1" x14ac:dyDescent="0.25">
      <c r="A585">
        <v>571404</v>
      </c>
      <c r="B585" t="s">
        <v>2016</v>
      </c>
      <c r="C585">
        <v>571404</v>
      </c>
      <c r="D585" t="s">
        <v>115</v>
      </c>
    </row>
    <row r="586" spans="1:4" ht="15" customHeight="1" x14ac:dyDescent="0.25">
      <c r="A586">
        <v>571500</v>
      </c>
      <c r="B586" t="s">
        <v>2017</v>
      </c>
      <c r="C586">
        <v>571500</v>
      </c>
      <c r="D586" t="s">
        <v>115</v>
      </c>
    </row>
    <row r="587" spans="1:4" ht="15" customHeight="1" x14ac:dyDescent="0.25">
      <c r="A587">
        <v>571501</v>
      </c>
      <c r="B587" t="s">
        <v>2018</v>
      </c>
      <c r="C587">
        <v>571501</v>
      </c>
      <c r="D587" t="s">
        <v>115</v>
      </c>
    </row>
    <row r="588" spans="1:4" ht="15" customHeight="1" x14ac:dyDescent="0.25">
      <c r="A588">
        <v>571600</v>
      </c>
      <c r="B588" t="s">
        <v>2019</v>
      </c>
      <c r="C588">
        <v>571600</v>
      </c>
      <c r="D588" t="s">
        <v>115</v>
      </c>
    </row>
    <row r="589" spans="1:4" ht="15" customHeight="1" x14ac:dyDescent="0.25">
      <c r="A589">
        <v>571601</v>
      </c>
      <c r="B589" t="s">
        <v>2020</v>
      </c>
      <c r="C589">
        <v>571601</v>
      </c>
      <c r="D589" t="s">
        <v>115</v>
      </c>
    </row>
    <row r="590" spans="1:4" ht="15" customHeight="1" x14ac:dyDescent="0.25">
      <c r="A590">
        <v>571602</v>
      </c>
      <c r="B590" t="s">
        <v>2021</v>
      </c>
      <c r="C590">
        <v>571602</v>
      </c>
      <c r="D590" t="s">
        <v>115</v>
      </c>
    </row>
    <row r="591" spans="1:4" ht="15" customHeight="1" x14ac:dyDescent="0.25">
      <c r="A591">
        <v>571700</v>
      </c>
      <c r="B591" t="s">
        <v>2022</v>
      </c>
      <c r="C591">
        <v>571700</v>
      </c>
      <c r="D591" t="s">
        <v>115</v>
      </c>
    </row>
    <row r="592" spans="1:4" ht="15" customHeight="1" x14ac:dyDescent="0.25">
      <c r="A592">
        <v>571701</v>
      </c>
      <c r="B592" t="s">
        <v>2023</v>
      </c>
      <c r="C592">
        <v>571701</v>
      </c>
      <c r="D592" t="s">
        <v>115</v>
      </c>
    </row>
    <row r="593" spans="1:4" ht="15" customHeight="1" x14ac:dyDescent="0.25">
      <c r="A593">
        <v>571702</v>
      </c>
      <c r="B593" t="s">
        <v>2024</v>
      </c>
      <c r="C593">
        <v>571702</v>
      </c>
      <c r="D593" t="s">
        <v>115</v>
      </c>
    </row>
    <row r="594" spans="1:4" ht="15" customHeight="1" x14ac:dyDescent="0.25">
      <c r="A594">
        <v>571800</v>
      </c>
      <c r="B594" t="s">
        <v>2025</v>
      </c>
      <c r="C594">
        <v>571800</v>
      </c>
      <c r="D594" t="s">
        <v>115</v>
      </c>
    </row>
    <row r="595" spans="1:4" ht="15" customHeight="1" x14ac:dyDescent="0.25">
      <c r="A595">
        <v>571801</v>
      </c>
      <c r="B595" t="s">
        <v>2026</v>
      </c>
      <c r="C595">
        <v>571801</v>
      </c>
      <c r="D595" t="s">
        <v>115</v>
      </c>
    </row>
    <row r="596" spans="1:4" ht="15" customHeight="1" x14ac:dyDescent="0.25">
      <c r="A596">
        <v>581100</v>
      </c>
      <c r="B596" t="s">
        <v>2027</v>
      </c>
      <c r="C596">
        <v>581100</v>
      </c>
      <c r="D596" t="s">
        <v>2028</v>
      </c>
    </row>
    <row r="597" spans="1:4" ht="15" customHeight="1" x14ac:dyDescent="0.25">
      <c r="A597">
        <v>581200</v>
      </c>
      <c r="B597" t="s">
        <v>2029</v>
      </c>
      <c r="C597">
        <v>581200</v>
      </c>
      <c r="D597" t="s">
        <v>2030</v>
      </c>
    </row>
    <row r="598" spans="1:4" ht="15" customHeight="1" x14ac:dyDescent="0.25">
      <c r="A598">
        <v>581300</v>
      </c>
      <c r="B598" t="s">
        <v>2031</v>
      </c>
      <c r="C598">
        <v>581300</v>
      </c>
      <c r="D598" t="s">
        <v>2030</v>
      </c>
    </row>
    <row r="599" spans="1:4" ht="15" customHeight="1" x14ac:dyDescent="0.25">
      <c r="A599">
        <v>581400</v>
      </c>
      <c r="B599" t="s">
        <v>2032</v>
      </c>
      <c r="C599">
        <v>581400</v>
      </c>
      <c r="D599" t="s">
        <v>2030</v>
      </c>
    </row>
    <row r="600" spans="1:4" ht="15" customHeight="1" x14ac:dyDescent="0.25">
      <c r="A600">
        <v>582100</v>
      </c>
      <c r="B600" t="s">
        <v>2033</v>
      </c>
      <c r="C600">
        <v>582100</v>
      </c>
      <c r="D600" t="s">
        <v>2030</v>
      </c>
    </row>
    <row r="601" spans="1:4" ht="15" customHeight="1" x14ac:dyDescent="0.25">
      <c r="A601">
        <v>582200</v>
      </c>
      <c r="B601" t="s">
        <v>2034</v>
      </c>
      <c r="C601">
        <v>582200</v>
      </c>
      <c r="D601" t="s">
        <v>2030</v>
      </c>
    </row>
    <row r="602" spans="1:4" ht="15" customHeight="1" x14ac:dyDescent="0.25">
      <c r="A602">
        <v>582300</v>
      </c>
      <c r="B602" t="s">
        <v>2035</v>
      </c>
      <c r="C602">
        <v>582300</v>
      </c>
      <c r="D602" t="s">
        <v>2030</v>
      </c>
    </row>
    <row r="603" spans="1:4" ht="15" customHeight="1" x14ac:dyDescent="0.25">
      <c r="A603">
        <v>591100</v>
      </c>
      <c r="B603" t="s">
        <v>2036</v>
      </c>
      <c r="C603">
        <v>591100</v>
      </c>
      <c r="D603" t="s">
        <v>115</v>
      </c>
    </row>
    <row r="604" spans="1:4" ht="15" customHeight="1" x14ac:dyDescent="0.25">
      <c r="A604">
        <v>591200</v>
      </c>
      <c r="B604" t="s">
        <v>2037</v>
      </c>
      <c r="C604">
        <v>591200</v>
      </c>
      <c r="D604" t="s">
        <v>115</v>
      </c>
    </row>
    <row r="605" spans="1:4" ht="15" customHeight="1" x14ac:dyDescent="0.25">
      <c r="A605">
        <v>591201</v>
      </c>
      <c r="B605" t="s">
        <v>2038</v>
      </c>
      <c r="C605">
        <v>591201</v>
      </c>
      <c r="D605" t="s">
        <v>115</v>
      </c>
    </row>
    <row r="606" spans="1:4" ht="15" customHeight="1" x14ac:dyDescent="0.25">
      <c r="A606">
        <v>592000</v>
      </c>
      <c r="B606" t="s">
        <v>2039</v>
      </c>
      <c r="C606">
        <v>592000</v>
      </c>
      <c r="D606" t="s">
        <v>115</v>
      </c>
    </row>
    <row r="607" spans="1:4" ht="15" customHeight="1" x14ac:dyDescent="0.25">
      <c r="A607">
        <v>592001</v>
      </c>
      <c r="B607" t="s">
        <v>2040</v>
      </c>
      <c r="C607">
        <v>592001</v>
      </c>
      <c r="D607" t="s">
        <v>115</v>
      </c>
    </row>
    <row r="608" spans="1:4" ht="15" customHeight="1" x14ac:dyDescent="0.25">
      <c r="A608">
        <v>592002</v>
      </c>
      <c r="B608" t="s">
        <v>2041</v>
      </c>
      <c r="C608">
        <v>592002</v>
      </c>
      <c r="D608" t="s">
        <v>115</v>
      </c>
    </row>
    <row r="609" spans="1:4" ht="15" customHeight="1" x14ac:dyDescent="0.25">
      <c r="A609">
        <v>593100</v>
      </c>
      <c r="B609" t="s">
        <v>2042</v>
      </c>
      <c r="C609">
        <v>593100</v>
      </c>
      <c r="D609" t="s">
        <v>115</v>
      </c>
    </row>
    <row r="610" spans="1:4" ht="15" customHeight="1" x14ac:dyDescent="0.25">
      <c r="A610">
        <v>593200</v>
      </c>
      <c r="B610" t="s">
        <v>2043</v>
      </c>
      <c r="C610">
        <v>593200</v>
      </c>
      <c r="D610" t="s">
        <v>115</v>
      </c>
    </row>
    <row r="611" spans="1:4" ht="15" customHeight="1" x14ac:dyDescent="0.25">
      <c r="A611">
        <v>593300</v>
      </c>
      <c r="B611" t="s">
        <v>2044</v>
      </c>
      <c r="C611">
        <v>593300</v>
      </c>
      <c r="D611" t="s">
        <v>115</v>
      </c>
    </row>
    <row r="612" spans="1:4" ht="15" customHeight="1" x14ac:dyDescent="0.25">
      <c r="A612">
        <v>593400</v>
      </c>
      <c r="B612" t="s">
        <v>2045</v>
      </c>
      <c r="C612">
        <v>593400</v>
      </c>
      <c r="D612" t="s">
        <v>115</v>
      </c>
    </row>
    <row r="613" spans="1:4" ht="15" customHeight="1" x14ac:dyDescent="0.25">
      <c r="A613">
        <v>594000</v>
      </c>
      <c r="B613" t="s">
        <v>2046</v>
      </c>
      <c r="C613">
        <v>594000</v>
      </c>
      <c r="D613" t="s">
        <v>115</v>
      </c>
    </row>
    <row r="614" spans="1:4" ht="15" customHeight="1" x14ac:dyDescent="0.25">
      <c r="A614">
        <v>596000</v>
      </c>
      <c r="B614" t="s">
        <v>2047</v>
      </c>
      <c r="C614">
        <v>596000</v>
      </c>
      <c r="D614" t="s">
        <v>115</v>
      </c>
    </row>
    <row r="615" spans="1:4" ht="15" customHeight="1" x14ac:dyDescent="0.25">
      <c r="A615">
        <v>597000</v>
      </c>
      <c r="B615" t="s">
        <v>2048</v>
      </c>
      <c r="C615">
        <v>597000</v>
      </c>
      <c r="D615" t="s">
        <v>115</v>
      </c>
    </row>
    <row r="616" spans="1:4" ht="15" customHeight="1" x14ac:dyDescent="0.25">
      <c r="A616">
        <v>598100</v>
      </c>
      <c r="B616" t="s">
        <v>2049</v>
      </c>
      <c r="C616">
        <v>598100</v>
      </c>
      <c r="D616" t="s">
        <v>115</v>
      </c>
    </row>
    <row r="617" spans="1:4" ht="15" customHeight="1" x14ac:dyDescent="0.25">
      <c r="A617">
        <v>598201</v>
      </c>
      <c r="B617" t="s">
        <v>2050</v>
      </c>
      <c r="C617">
        <v>598201</v>
      </c>
      <c r="D617" t="s">
        <v>115</v>
      </c>
    </row>
    <row r="618" spans="1:4" ht="15" customHeight="1" x14ac:dyDescent="0.25">
      <c r="A618">
        <v>598202</v>
      </c>
      <c r="B618" t="s">
        <v>2051</v>
      </c>
      <c r="C618">
        <v>598202</v>
      </c>
      <c r="D618" t="s">
        <v>115</v>
      </c>
    </row>
    <row r="619" spans="1:4" ht="15" customHeight="1" x14ac:dyDescent="0.25">
      <c r="A619">
        <v>598300</v>
      </c>
      <c r="B619" t="s">
        <v>2052</v>
      </c>
      <c r="C619">
        <v>598300</v>
      </c>
      <c r="D619" t="s">
        <v>115</v>
      </c>
    </row>
    <row r="620" spans="1:4" ht="15" customHeight="1" x14ac:dyDescent="0.25">
      <c r="A620">
        <v>598400</v>
      </c>
      <c r="B620" t="s">
        <v>2053</v>
      </c>
      <c r="C620">
        <v>598400</v>
      </c>
      <c r="D620" t="s">
        <v>115</v>
      </c>
    </row>
    <row r="621" spans="1:4" ht="15" customHeight="1" x14ac:dyDescent="0.25">
      <c r="A621">
        <v>599000</v>
      </c>
      <c r="B621" t="s">
        <v>2054</v>
      </c>
      <c r="C621">
        <v>599000</v>
      </c>
      <c r="D621" t="s">
        <v>115</v>
      </c>
    </row>
    <row r="622" spans="1:4" ht="15" customHeight="1" x14ac:dyDescent="0.25">
      <c r="A622">
        <v>599001</v>
      </c>
      <c r="B622" t="s">
        <v>2055</v>
      </c>
      <c r="C622">
        <v>599001</v>
      </c>
      <c r="D622" t="s">
        <v>115</v>
      </c>
    </row>
    <row r="623" spans="1:4" ht="15" customHeight="1" x14ac:dyDescent="0.25">
      <c r="A623">
        <v>599100</v>
      </c>
      <c r="B623" t="s">
        <v>2056</v>
      </c>
      <c r="C623">
        <v>599100</v>
      </c>
      <c r="D623" t="s">
        <v>115</v>
      </c>
    </row>
    <row r="624" spans="1:4" ht="15" customHeight="1" x14ac:dyDescent="0.25">
      <c r="A624">
        <v>599101</v>
      </c>
      <c r="B624" t="s">
        <v>2057</v>
      </c>
      <c r="C624">
        <v>599101</v>
      </c>
      <c r="D624" t="s">
        <v>115</v>
      </c>
    </row>
    <row r="625" spans="1:4" ht="15" customHeight="1" x14ac:dyDescent="0.25">
      <c r="A625">
        <v>599200</v>
      </c>
      <c r="B625" t="s">
        <v>2058</v>
      </c>
      <c r="C625">
        <v>599200</v>
      </c>
      <c r="D625" t="s">
        <v>115</v>
      </c>
    </row>
    <row r="626" spans="1:4" ht="15" customHeight="1" x14ac:dyDescent="0.25">
      <c r="A626">
        <v>599301</v>
      </c>
      <c r="B626" t="s">
        <v>2059</v>
      </c>
      <c r="C626">
        <v>599301</v>
      </c>
      <c r="D626" t="s">
        <v>115</v>
      </c>
    </row>
    <row r="627" spans="1:4" ht="15" customHeight="1" x14ac:dyDescent="0.25">
      <c r="A627">
        <v>599302</v>
      </c>
      <c r="B627" t="s">
        <v>2060</v>
      </c>
      <c r="C627">
        <v>599302</v>
      </c>
      <c r="D627" t="s">
        <v>115</v>
      </c>
    </row>
    <row r="628" spans="1:4" ht="15" customHeight="1" x14ac:dyDescent="0.25">
      <c r="A628">
        <v>599303</v>
      </c>
      <c r="B628" t="s">
        <v>2061</v>
      </c>
      <c r="C628">
        <v>599303</v>
      </c>
      <c r="D628" t="s">
        <v>115</v>
      </c>
    </row>
    <row r="629" spans="1:4" ht="15" customHeight="1" x14ac:dyDescent="0.25">
      <c r="A629">
        <v>599400</v>
      </c>
      <c r="B629" t="s">
        <v>2062</v>
      </c>
      <c r="C629">
        <v>599400</v>
      </c>
      <c r="D629" t="s">
        <v>115</v>
      </c>
    </row>
    <row r="630" spans="1:4" ht="15" customHeight="1" x14ac:dyDescent="0.25">
      <c r="A630">
        <v>599401</v>
      </c>
      <c r="B630" t="s">
        <v>2063</v>
      </c>
      <c r="C630">
        <v>599401</v>
      </c>
      <c r="D630" t="s">
        <v>115</v>
      </c>
    </row>
    <row r="631" spans="1:4" ht="15" customHeight="1" x14ac:dyDescent="0.25">
      <c r="A631">
        <v>599402</v>
      </c>
      <c r="B631" t="s">
        <v>2064</v>
      </c>
      <c r="C631">
        <v>599402</v>
      </c>
      <c r="D631" t="s">
        <v>115</v>
      </c>
    </row>
    <row r="632" spans="1:4" ht="15" customHeight="1" x14ac:dyDescent="0.25">
      <c r="A632">
        <v>599500</v>
      </c>
      <c r="B632" t="s">
        <v>2065</v>
      </c>
      <c r="C632">
        <v>599500</v>
      </c>
      <c r="D632" t="s">
        <v>115</v>
      </c>
    </row>
    <row r="633" spans="1:4" ht="15" customHeight="1" x14ac:dyDescent="0.25">
      <c r="A633">
        <v>599501</v>
      </c>
      <c r="B633" t="s">
        <v>2066</v>
      </c>
      <c r="C633">
        <v>599501</v>
      </c>
      <c r="D633" t="s">
        <v>115</v>
      </c>
    </row>
    <row r="634" spans="1:4" ht="15" customHeight="1" x14ac:dyDescent="0.25">
      <c r="A634">
        <v>599601</v>
      </c>
      <c r="B634" t="s">
        <v>2067</v>
      </c>
      <c r="C634">
        <v>599601</v>
      </c>
      <c r="D634" t="s">
        <v>115</v>
      </c>
    </row>
    <row r="635" spans="1:4" ht="15" customHeight="1" x14ac:dyDescent="0.25">
      <c r="A635">
        <v>599602</v>
      </c>
      <c r="B635" t="s">
        <v>2068</v>
      </c>
      <c r="C635">
        <v>599602</v>
      </c>
      <c r="D635" t="s">
        <v>115</v>
      </c>
    </row>
    <row r="636" spans="1:4" ht="15" customHeight="1" x14ac:dyDescent="0.25">
      <c r="A636">
        <v>599603</v>
      </c>
      <c r="B636" t="s">
        <v>2069</v>
      </c>
      <c r="C636">
        <v>599603</v>
      </c>
      <c r="D636" t="s">
        <v>115</v>
      </c>
    </row>
    <row r="637" spans="1:4" ht="15" customHeight="1" x14ac:dyDescent="0.25">
      <c r="A637">
        <v>599604</v>
      </c>
      <c r="B637" t="s">
        <v>2070</v>
      </c>
      <c r="C637">
        <v>599604</v>
      </c>
      <c r="D637" t="s">
        <v>115</v>
      </c>
    </row>
    <row r="638" spans="1:4" ht="15" customHeight="1" x14ac:dyDescent="0.25">
      <c r="A638">
        <v>599605</v>
      </c>
      <c r="B638" t="s">
        <v>2071</v>
      </c>
      <c r="C638">
        <v>599605</v>
      </c>
      <c r="D638" t="s">
        <v>115</v>
      </c>
    </row>
    <row r="639" spans="1:4" ht="15" customHeight="1" x14ac:dyDescent="0.25">
      <c r="A639">
        <v>599606</v>
      </c>
      <c r="B639" t="s">
        <v>2072</v>
      </c>
      <c r="C639">
        <v>599606</v>
      </c>
      <c r="D639" t="s">
        <v>115</v>
      </c>
    </row>
    <row r="640" spans="1:4" ht="15" customHeight="1" x14ac:dyDescent="0.25">
      <c r="A640">
        <v>599607</v>
      </c>
      <c r="B640" t="s">
        <v>1916</v>
      </c>
      <c r="C640">
        <v>599607</v>
      </c>
      <c r="D640" t="s">
        <v>115</v>
      </c>
    </row>
    <row r="641" spans="1:4" ht="15" customHeight="1" x14ac:dyDescent="0.25">
      <c r="A641">
        <v>599608</v>
      </c>
      <c r="B641" t="s">
        <v>1918</v>
      </c>
      <c r="C641">
        <v>599608</v>
      </c>
      <c r="D641" t="s">
        <v>115</v>
      </c>
    </row>
    <row r="642" spans="1:4" ht="15" customHeight="1" x14ac:dyDescent="0.25">
      <c r="A642">
        <v>599610</v>
      </c>
      <c r="B642" t="s">
        <v>2073</v>
      </c>
      <c r="C642">
        <v>599610</v>
      </c>
      <c r="D642" t="s">
        <v>115</v>
      </c>
    </row>
    <row r="643" spans="1:4" ht="15" customHeight="1" x14ac:dyDescent="0.25">
      <c r="A643">
        <v>599611</v>
      </c>
      <c r="B643" t="s">
        <v>2074</v>
      </c>
      <c r="C643">
        <v>599611</v>
      </c>
      <c r="D643" t="s">
        <v>115</v>
      </c>
    </row>
    <row r="644" spans="1:4" ht="15" customHeight="1" x14ac:dyDescent="0.25">
      <c r="A644">
        <v>599613</v>
      </c>
      <c r="B644" t="s">
        <v>2075</v>
      </c>
      <c r="C644">
        <v>599613</v>
      </c>
      <c r="D644" t="s">
        <v>115</v>
      </c>
    </row>
    <row r="645" spans="1:4" ht="15" customHeight="1" x14ac:dyDescent="0.25">
      <c r="A645">
        <v>599614</v>
      </c>
      <c r="B645" t="s">
        <v>2076</v>
      </c>
      <c r="C645">
        <v>599614</v>
      </c>
      <c r="D645" t="s">
        <v>115</v>
      </c>
    </row>
    <row r="646" spans="1:4" ht="15" customHeight="1" x14ac:dyDescent="0.25">
      <c r="A646">
        <v>599615</v>
      </c>
      <c r="B646" t="s">
        <v>2077</v>
      </c>
      <c r="C646">
        <v>599615</v>
      </c>
      <c r="D646" t="s">
        <v>115</v>
      </c>
    </row>
    <row r="647" spans="1:4" ht="15" customHeight="1" x14ac:dyDescent="0.25">
      <c r="A647">
        <v>599618</v>
      </c>
      <c r="B647" t="s">
        <v>2078</v>
      </c>
      <c r="C647">
        <v>599618</v>
      </c>
      <c r="D647" t="s">
        <v>115</v>
      </c>
    </row>
    <row r="648" spans="1:4" ht="15" customHeight="1" x14ac:dyDescent="0.25">
      <c r="A648">
        <v>599619</v>
      </c>
      <c r="B648" t="s">
        <v>2079</v>
      </c>
      <c r="C648">
        <v>599619</v>
      </c>
      <c r="D648" t="s">
        <v>115</v>
      </c>
    </row>
    <row r="649" spans="1:4" ht="15" customHeight="1" x14ac:dyDescent="0.25">
      <c r="A649">
        <v>599620</v>
      </c>
      <c r="B649" t="s">
        <v>2080</v>
      </c>
      <c r="C649">
        <v>599620</v>
      </c>
      <c r="D649" t="s">
        <v>115</v>
      </c>
    </row>
    <row r="650" spans="1:4" ht="15" customHeight="1" x14ac:dyDescent="0.25">
      <c r="A650">
        <v>599700</v>
      </c>
      <c r="B650" t="s">
        <v>2081</v>
      </c>
      <c r="C650">
        <v>599700</v>
      </c>
      <c r="D650" t="s">
        <v>115</v>
      </c>
    </row>
    <row r="651" spans="1:4" ht="15" customHeight="1" x14ac:dyDescent="0.25">
      <c r="A651">
        <v>599800</v>
      </c>
      <c r="B651" t="s">
        <v>2082</v>
      </c>
      <c r="C651">
        <v>599800</v>
      </c>
      <c r="D651" t="s">
        <v>115</v>
      </c>
    </row>
    <row r="652" spans="1:4" ht="15" customHeight="1" x14ac:dyDescent="0.25">
      <c r="A652">
        <v>599900</v>
      </c>
      <c r="B652" t="s">
        <v>2083</v>
      </c>
      <c r="C652">
        <v>599900</v>
      </c>
      <c r="D652" t="s">
        <v>1809</v>
      </c>
    </row>
    <row r="653" spans="1:4" ht="15" customHeight="1" x14ac:dyDescent="0.25">
      <c r="A653">
        <v>602100</v>
      </c>
      <c r="B653" t="s">
        <v>2084</v>
      </c>
      <c r="C653">
        <v>602100</v>
      </c>
      <c r="D653" t="s">
        <v>2085</v>
      </c>
    </row>
    <row r="654" spans="1:4" ht="15" customHeight="1" x14ac:dyDescent="0.25">
      <c r="A654">
        <v>602200</v>
      </c>
      <c r="B654" t="s">
        <v>2086</v>
      </c>
      <c r="C654">
        <v>602200</v>
      </c>
      <c r="D654" t="s">
        <v>2085</v>
      </c>
    </row>
    <row r="655" spans="1:4" ht="15" customHeight="1" x14ac:dyDescent="0.25">
      <c r="A655">
        <v>602300</v>
      </c>
      <c r="B655" t="s">
        <v>2087</v>
      </c>
      <c r="C655">
        <v>602300</v>
      </c>
      <c r="D655" t="s">
        <v>2085</v>
      </c>
    </row>
    <row r="656" spans="1:4" ht="15" customHeight="1" x14ac:dyDescent="0.25">
      <c r="A656">
        <v>612000</v>
      </c>
      <c r="B656" t="s">
        <v>2088</v>
      </c>
      <c r="C656">
        <v>612000</v>
      </c>
      <c r="D656" t="s">
        <v>2085</v>
      </c>
    </row>
    <row r="657" spans="1:4" ht="15" customHeight="1" x14ac:dyDescent="0.25">
      <c r="A657">
        <v>614000</v>
      </c>
      <c r="B657" t="s">
        <v>2089</v>
      </c>
      <c r="C657">
        <v>614000</v>
      </c>
      <c r="D657" t="s">
        <v>2085</v>
      </c>
    </row>
    <row r="658" spans="1:4" ht="15" customHeight="1" x14ac:dyDescent="0.25">
      <c r="A658">
        <v>615000</v>
      </c>
      <c r="B658" t="s">
        <v>2090</v>
      </c>
      <c r="C658">
        <v>615000</v>
      </c>
      <c r="D658" t="s">
        <v>2085</v>
      </c>
    </row>
    <row r="659" spans="1:4" ht="15" customHeight="1" x14ac:dyDescent="0.25">
      <c r="A659">
        <v>621000</v>
      </c>
      <c r="B659" t="s">
        <v>2091</v>
      </c>
      <c r="C659">
        <v>621000</v>
      </c>
      <c r="D659" t="s">
        <v>2085</v>
      </c>
    </row>
    <row r="660" spans="1:4" ht="15" customHeight="1" x14ac:dyDescent="0.25">
      <c r="A660">
        <v>623000</v>
      </c>
      <c r="B660" t="s">
        <v>2092</v>
      </c>
      <c r="C660">
        <v>623000</v>
      </c>
      <c r="D660" t="s">
        <v>2085</v>
      </c>
    </row>
    <row r="661" spans="1:4" ht="15" customHeight="1" x14ac:dyDescent="0.25">
      <c r="A661">
        <v>624000</v>
      </c>
      <c r="B661" t="s">
        <v>2093</v>
      </c>
      <c r="C661">
        <v>624000</v>
      </c>
      <c r="D661" t="s">
        <v>2085</v>
      </c>
    </row>
    <row r="662" spans="1:4" ht="15" customHeight="1" x14ac:dyDescent="0.25">
      <c r="A662">
        <v>625000</v>
      </c>
      <c r="B662" t="s">
        <v>2094</v>
      </c>
      <c r="C662">
        <v>625000</v>
      </c>
      <c r="D662" t="s">
        <v>2085</v>
      </c>
    </row>
    <row r="663" spans="1:4" ht="15" customHeight="1" x14ac:dyDescent="0.25">
      <c r="A663">
        <v>631000</v>
      </c>
      <c r="B663" t="s">
        <v>2095</v>
      </c>
      <c r="C663">
        <v>631000</v>
      </c>
      <c r="D663" t="s">
        <v>2085</v>
      </c>
    </row>
    <row r="664" spans="1:4" ht="15" customHeight="1" x14ac:dyDescent="0.25">
      <c r="A664">
        <v>638000</v>
      </c>
      <c r="B664" t="s">
        <v>2096</v>
      </c>
      <c r="C664">
        <v>638000</v>
      </c>
      <c r="D664" t="s">
        <v>2085</v>
      </c>
    </row>
    <row r="665" spans="1:4" ht="15" customHeight="1" x14ac:dyDescent="0.25">
      <c r="A665">
        <v>639000</v>
      </c>
      <c r="B665" t="s">
        <v>2097</v>
      </c>
      <c r="C665">
        <v>639000</v>
      </c>
      <c r="D665" t="s">
        <v>2085</v>
      </c>
    </row>
    <row r="666" spans="1:4" ht="15" customHeight="1" x14ac:dyDescent="0.25">
      <c r="A666">
        <v>641100</v>
      </c>
      <c r="B666" t="s">
        <v>2098</v>
      </c>
      <c r="C666">
        <v>641100</v>
      </c>
      <c r="D666" t="s">
        <v>2085</v>
      </c>
    </row>
    <row r="667" spans="1:4" ht="15" customHeight="1" x14ac:dyDescent="0.25">
      <c r="A667">
        <v>641101</v>
      </c>
      <c r="B667" t="s">
        <v>2099</v>
      </c>
      <c r="C667">
        <v>641101</v>
      </c>
      <c r="D667" t="s">
        <v>2085</v>
      </c>
    </row>
    <row r="668" spans="1:4" ht="15" customHeight="1" x14ac:dyDescent="0.25">
      <c r="A668">
        <v>641200</v>
      </c>
      <c r="B668" t="s">
        <v>2100</v>
      </c>
      <c r="C668">
        <v>641200</v>
      </c>
      <c r="D668" t="s">
        <v>2085</v>
      </c>
    </row>
    <row r="669" spans="1:4" ht="15" customHeight="1" x14ac:dyDescent="0.25">
      <c r="A669">
        <v>641201</v>
      </c>
      <c r="B669" t="s">
        <v>2101</v>
      </c>
      <c r="C669">
        <v>641201</v>
      </c>
      <c r="D669" t="s">
        <v>2085</v>
      </c>
    </row>
    <row r="670" spans="1:4" ht="15" customHeight="1" x14ac:dyDescent="0.25">
      <c r="A670">
        <v>641202</v>
      </c>
      <c r="B670" t="s">
        <v>2102</v>
      </c>
      <c r="C670">
        <v>641202</v>
      </c>
      <c r="D670" t="s">
        <v>2085</v>
      </c>
    </row>
    <row r="671" spans="1:4" ht="15" customHeight="1" x14ac:dyDescent="0.25">
      <c r="A671">
        <v>641300</v>
      </c>
      <c r="B671" t="s">
        <v>2103</v>
      </c>
      <c r="C671">
        <v>641300</v>
      </c>
      <c r="D671" t="s">
        <v>2085</v>
      </c>
    </row>
    <row r="672" spans="1:4" ht="15" customHeight="1" x14ac:dyDescent="0.25">
      <c r="A672">
        <v>641400</v>
      </c>
      <c r="B672" t="s">
        <v>2104</v>
      </c>
      <c r="C672">
        <v>641400</v>
      </c>
      <c r="D672" t="s">
        <v>2085</v>
      </c>
    </row>
    <row r="673" spans="1:4" ht="15" customHeight="1" x14ac:dyDescent="0.25">
      <c r="A673">
        <v>641401</v>
      </c>
      <c r="B673" t="s">
        <v>2105</v>
      </c>
      <c r="C673">
        <v>641401</v>
      </c>
      <c r="D673" t="s">
        <v>2085</v>
      </c>
    </row>
    <row r="674" spans="1:4" ht="15" customHeight="1" x14ac:dyDescent="0.25">
      <c r="A674">
        <v>641402</v>
      </c>
      <c r="B674" t="s">
        <v>2106</v>
      </c>
      <c r="C674">
        <v>641402</v>
      </c>
      <c r="D674" t="s">
        <v>2085</v>
      </c>
    </row>
    <row r="675" spans="1:4" ht="15" customHeight="1" x14ac:dyDescent="0.25">
      <c r="A675">
        <v>641403</v>
      </c>
      <c r="B675" t="s">
        <v>2107</v>
      </c>
      <c r="C675">
        <v>641403</v>
      </c>
      <c r="D675" t="s">
        <v>2085</v>
      </c>
    </row>
    <row r="676" spans="1:4" ht="15" customHeight="1" x14ac:dyDescent="0.25">
      <c r="A676">
        <v>641404</v>
      </c>
      <c r="B676" t="s">
        <v>2108</v>
      </c>
      <c r="C676">
        <v>641404</v>
      </c>
      <c r="D676" t="s">
        <v>2085</v>
      </c>
    </row>
    <row r="677" spans="1:4" ht="15" customHeight="1" x14ac:dyDescent="0.25">
      <c r="A677">
        <v>641405</v>
      </c>
      <c r="B677" t="s">
        <v>2109</v>
      </c>
      <c r="C677">
        <v>641405</v>
      </c>
      <c r="D677" t="s">
        <v>2085</v>
      </c>
    </row>
    <row r="678" spans="1:4" ht="15" customHeight="1" x14ac:dyDescent="0.25">
      <c r="A678">
        <v>641406</v>
      </c>
      <c r="B678" t="s">
        <v>2110</v>
      </c>
      <c r="C678">
        <v>641406</v>
      </c>
      <c r="D678" t="s">
        <v>2085</v>
      </c>
    </row>
    <row r="679" spans="1:4" ht="15" customHeight="1" x14ac:dyDescent="0.25">
      <c r="A679">
        <v>641407</v>
      </c>
      <c r="B679" t="s">
        <v>2111</v>
      </c>
      <c r="C679">
        <v>641407</v>
      </c>
      <c r="D679" t="s">
        <v>2085</v>
      </c>
    </row>
    <row r="680" spans="1:4" ht="15" customHeight="1" x14ac:dyDescent="0.25">
      <c r="A680">
        <v>641408</v>
      </c>
      <c r="B680" t="s">
        <v>2112</v>
      </c>
      <c r="C680">
        <v>641408</v>
      </c>
      <c r="D680" t="s">
        <v>2085</v>
      </c>
    </row>
    <row r="681" spans="1:4" ht="15" customHeight="1" x14ac:dyDescent="0.25">
      <c r="A681">
        <v>641409</v>
      </c>
      <c r="B681" t="s">
        <v>2113</v>
      </c>
      <c r="C681">
        <v>641409</v>
      </c>
      <c r="D681" t="s">
        <v>2085</v>
      </c>
    </row>
    <row r="682" spans="1:4" ht="15" customHeight="1" x14ac:dyDescent="0.25">
      <c r="A682">
        <v>641500</v>
      </c>
      <c r="B682" t="s">
        <v>2114</v>
      </c>
      <c r="C682">
        <v>641500</v>
      </c>
      <c r="D682" t="s">
        <v>2085</v>
      </c>
    </row>
    <row r="683" spans="1:4" ht="15" customHeight="1" x14ac:dyDescent="0.25">
      <c r="A683">
        <v>650100</v>
      </c>
      <c r="B683" t="s">
        <v>2115</v>
      </c>
      <c r="C683">
        <v>650100</v>
      </c>
      <c r="D683" t="s">
        <v>446</v>
      </c>
    </row>
    <row r="684" spans="1:4" ht="15" customHeight="1" x14ac:dyDescent="0.25">
      <c r="A684">
        <v>650200</v>
      </c>
      <c r="B684" t="s">
        <v>2116</v>
      </c>
      <c r="C684">
        <v>650200</v>
      </c>
      <c r="D684" t="s">
        <v>446</v>
      </c>
    </row>
    <row r="685" spans="1:4" ht="15" customHeight="1" x14ac:dyDescent="0.25">
      <c r="A685">
        <v>651100</v>
      </c>
      <c r="B685" t="s">
        <v>2117</v>
      </c>
      <c r="C685">
        <v>651100</v>
      </c>
      <c r="D685" t="s">
        <v>446</v>
      </c>
    </row>
    <row r="686" spans="1:4" ht="15" customHeight="1" x14ac:dyDescent="0.25">
      <c r="A686">
        <v>651200</v>
      </c>
      <c r="B686" t="s">
        <v>2118</v>
      </c>
      <c r="C686">
        <v>651200</v>
      </c>
      <c r="D686" t="s">
        <v>446</v>
      </c>
    </row>
    <row r="687" spans="1:4" ht="15" customHeight="1" x14ac:dyDescent="0.25">
      <c r="A687">
        <v>652000</v>
      </c>
      <c r="B687" t="s">
        <v>2119</v>
      </c>
      <c r="C687">
        <v>652000</v>
      </c>
      <c r="D687" t="s">
        <v>446</v>
      </c>
    </row>
    <row r="688" spans="1:4" ht="15" customHeight="1" x14ac:dyDescent="0.25">
      <c r="A688">
        <v>653100</v>
      </c>
      <c r="B688" t="s">
        <v>2120</v>
      </c>
      <c r="C688">
        <v>653100</v>
      </c>
      <c r="D688" t="s">
        <v>446</v>
      </c>
    </row>
    <row r="689" spans="1:4" ht="15" customHeight="1" x14ac:dyDescent="0.25">
      <c r="A689">
        <v>653200</v>
      </c>
      <c r="B689" t="s">
        <v>2121</v>
      </c>
      <c r="C689">
        <v>653200</v>
      </c>
      <c r="D689" t="s">
        <v>446</v>
      </c>
    </row>
    <row r="690" spans="1:4" ht="15" customHeight="1" x14ac:dyDescent="0.25">
      <c r="A690">
        <v>654100</v>
      </c>
      <c r="B690" t="s">
        <v>2122</v>
      </c>
      <c r="C690">
        <v>654100</v>
      </c>
      <c r="D690" t="s">
        <v>446</v>
      </c>
    </row>
    <row r="691" spans="1:4" ht="15" customHeight="1" x14ac:dyDescent="0.25">
      <c r="A691">
        <v>654200</v>
      </c>
      <c r="B691" t="s">
        <v>2123</v>
      </c>
      <c r="C691">
        <v>654200</v>
      </c>
      <c r="D691" t="s">
        <v>446</v>
      </c>
    </row>
    <row r="692" spans="1:4" ht="15" customHeight="1" x14ac:dyDescent="0.25">
      <c r="A692">
        <v>655000</v>
      </c>
      <c r="B692" t="s">
        <v>2124</v>
      </c>
      <c r="C692">
        <v>655000</v>
      </c>
      <c r="D692" t="s">
        <v>446</v>
      </c>
    </row>
    <row r="693" spans="1:4" ht="15" customHeight="1" x14ac:dyDescent="0.25">
      <c r="A693">
        <v>658000</v>
      </c>
      <c r="B693" t="s">
        <v>2125</v>
      </c>
      <c r="C693">
        <v>658000</v>
      </c>
      <c r="D693" t="s">
        <v>446</v>
      </c>
    </row>
    <row r="694" spans="1:4" ht="15" customHeight="1" x14ac:dyDescent="0.25">
      <c r="A694">
        <v>661000</v>
      </c>
      <c r="B694" t="s">
        <v>2126</v>
      </c>
      <c r="C694">
        <v>661000</v>
      </c>
      <c r="D694" t="s">
        <v>446</v>
      </c>
    </row>
    <row r="695" spans="1:4" ht="15" customHeight="1" x14ac:dyDescent="0.25">
      <c r="A695">
        <v>661004</v>
      </c>
      <c r="B695" t="s">
        <v>2127</v>
      </c>
      <c r="C695">
        <v>661004</v>
      </c>
      <c r="D695" t="s">
        <v>446</v>
      </c>
    </row>
    <row r="696" spans="1:4" ht="15" customHeight="1" x14ac:dyDescent="0.25">
      <c r="A696">
        <v>662100</v>
      </c>
      <c r="B696" t="s">
        <v>2128</v>
      </c>
      <c r="C696">
        <v>662100</v>
      </c>
      <c r="D696" t="s">
        <v>446</v>
      </c>
    </row>
    <row r="697" spans="1:4" ht="15" customHeight="1" x14ac:dyDescent="0.25">
      <c r="A697">
        <v>662200</v>
      </c>
      <c r="B697" t="s">
        <v>2129</v>
      </c>
      <c r="C697">
        <v>662200</v>
      </c>
      <c r="D697" t="s">
        <v>446</v>
      </c>
    </row>
    <row r="698" spans="1:4" ht="15" customHeight="1" x14ac:dyDescent="0.25">
      <c r="A698">
        <v>663100</v>
      </c>
      <c r="B698" t="s">
        <v>2130</v>
      </c>
      <c r="C698">
        <v>663100</v>
      </c>
      <c r="D698" t="s">
        <v>446</v>
      </c>
    </row>
    <row r="699" spans="1:4" ht="15" customHeight="1" x14ac:dyDescent="0.25">
      <c r="A699">
        <v>663200</v>
      </c>
      <c r="B699" t="s">
        <v>2131</v>
      </c>
      <c r="C699">
        <v>663200</v>
      </c>
      <c r="D699" t="s">
        <v>446</v>
      </c>
    </row>
    <row r="700" spans="1:4" ht="15" customHeight="1" x14ac:dyDescent="0.25">
      <c r="A700">
        <v>663300</v>
      </c>
      <c r="B700" t="s">
        <v>2132</v>
      </c>
      <c r="C700">
        <v>663300</v>
      </c>
      <c r="D700" t="s">
        <v>446</v>
      </c>
    </row>
    <row r="701" spans="1:4" ht="15" customHeight="1" x14ac:dyDescent="0.25">
      <c r="A701">
        <v>664100</v>
      </c>
      <c r="B701" t="s">
        <v>2133</v>
      </c>
      <c r="C701">
        <v>664100</v>
      </c>
      <c r="D701" t="s">
        <v>446</v>
      </c>
    </row>
    <row r="702" spans="1:4" ht="15" customHeight="1" x14ac:dyDescent="0.25">
      <c r="A702">
        <v>664200</v>
      </c>
      <c r="B702" t="s">
        <v>2134</v>
      </c>
      <c r="C702">
        <v>664200</v>
      </c>
      <c r="D702" t="s">
        <v>446</v>
      </c>
    </row>
    <row r="703" spans="1:4" ht="15" customHeight="1" x14ac:dyDescent="0.25">
      <c r="A703">
        <v>665000</v>
      </c>
      <c r="B703" t="s">
        <v>2135</v>
      </c>
      <c r="C703">
        <v>665000</v>
      </c>
      <c r="D703" t="s">
        <v>446</v>
      </c>
    </row>
    <row r="704" spans="1:4" ht="15" customHeight="1" x14ac:dyDescent="0.25">
      <c r="A704">
        <v>666000</v>
      </c>
      <c r="B704" t="s">
        <v>2136</v>
      </c>
      <c r="C704">
        <v>666000</v>
      </c>
      <c r="D704" t="s">
        <v>446</v>
      </c>
    </row>
    <row r="705" spans="1:4" ht="15" customHeight="1" x14ac:dyDescent="0.25">
      <c r="A705">
        <v>667000</v>
      </c>
      <c r="B705" t="s">
        <v>2137</v>
      </c>
      <c r="C705">
        <v>667000</v>
      </c>
      <c r="D705" t="s">
        <v>446</v>
      </c>
    </row>
    <row r="706" spans="1:4" ht="15" customHeight="1" x14ac:dyDescent="0.25">
      <c r="A706">
        <v>701100</v>
      </c>
      <c r="B706" t="s">
        <v>2138</v>
      </c>
      <c r="C706">
        <v>701100</v>
      </c>
      <c r="D706" t="s">
        <v>2030</v>
      </c>
    </row>
    <row r="707" spans="1:4" ht="15" customHeight="1" x14ac:dyDescent="0.25">
      <c r="A707">
        <v>701200</v>
      </c>
      <c r="B707" t="s">
        <v>2139</v>
      </c>
      <c r="C707">
        <v>701200</v>
      </c>
      <c r="D707" t="s">
        <v>2030</v>
      </c>
    </row>
    <row r="708" spans="1:4" ht="15" customHeight="1" x14ac:dyDescent="0.25">
      <c r="A708">
        <v>702100</v>
      </c>
      <c r="B708" t="s">
        <v>2140</v>
      </c>
      <c r="C708">
        <v>702100</v>
      </c>
      <c r="D708" t="s">
        <v>2030</v>
      </c>
    </row>
    <row r="709" spans="1:4" ht="15" customHeight="1" x14ac:dyDescent="0.25">
      <c r="A709">
        <v>702200</v>
      </c>
      <c r="B709" t="s">
        <v>2141</v>
      </c>
      <c r="C709">
        <v>702200</v>
      </c>
      <c r="D709" t="s">
        <v>2030</v>
      </c>
    </row>
    <row r="710" spans="1:4" ht="15" customHeight="1" x14ac:dyDescent="0.25">
      <c r="A710">
        <v>703100</v>
      </c>
      <c r="B710" t="s">
        <v>2142</v>
      </c>
      <c r="C710">
        <v>703100</v>
      </c>
      <c r="D710" t="s">
        <v>2030</v>
      </c>
    </row>
    <row r="711" spans="1:4" ht="15" customHeight="1" x14ac:dyDescent="0.25">
      <c r="A711">
        <v>703200</v>
      </c>
      <c r="B711" t="s">
        <v>2143</v>
      </c>
      <c r="C711">
        <v>703200</v>
      </c>
      <c r="D711" t="s">
        <v>2030</v>
      </c>
    </row>
    <row r="712" spans="1:4" ht="15" customHeight="1" x14ac:dyDescent="0.25">
      <c r="A712">
        <v>704100</v>
      </c>
      <c r="B712" t="s">
        <v>2144</v>
      </c>
      <c r="C712">
        <v>704100</v>
      </c>
      <c r="D712" t="s">
        <v>2030</v>
      </c>
    </row>
    <row r="713" spans="1:4" ht="15" customHeight="1" x14ac:dyDescent="0.25">
      <c r="A713">
        <v>704200</v>
      </c>
      <c r="B713" t="s">
        <v>2145</v>
      </c>
      <c r="C713">
        <v>704200</v>
      </c>
      <c r="D713" t="s">
        <v>2030</v>
      </c>
    </row>
    <row r="714" spans="1:4" ht="15" customHeight="1" x14ac:dyDescent="0.25">
      <c r="A714">
        <v>704300</v>
      </c>
      <c r="B714" t="s">
        <v>2146</v>
      </c>
      <c r="C714">
        <v>704300</v>
      </c>
      <c r="D714" t="s">
        <v>2030</v>
      </c>
    </row>
    <row r="715" spans="1:4" ht="15" customHeight="1" x14ac:dyDescent="0.25">
      <c r="A715">
        <v>704400</v>
      </c>
      <c r="B715" t="s">
        <v>2147</v>
      </c>
      <c r="C715">
        <v>704400</v>
      </c>
      <c r="D715" t="s">
        <v>2030</v>
      </c>
    </row>
    <row r="716" spans="1:4" ht="15" customHeight="1" x14ac:dyDescent="0.25">
      <c r="A716">
        <v>705100</v>
      </c>
      <c r="B716" t="s">
        <v>2148</v>
      </c>
      <c r="C716">
        <v>705100</v>
      </c>
      <c r="D716" t="s">
        <v>2030</v>
      </c>
    </row>
    <row r="717" spans="1:4" ht="15" customHeight="1" x14ac:dyDescent="0.25">
      <c r="A717">
        <v>705200</v>
      </c>
      <c r="B717" t="s">
        <v>2149</v>
      </c>
      <c r="C717">
        <v>705200</v>
      </c>
      <c r="D717" t="s">
        <v>2030</v>
      </c>
    </row>
    <row r="718" spans="1:4" ht="15" customHeight="1" x14ac:dyDescent="0.25">
      <c r="A718">
        <v>705300</v>
      </c>
      <c r="B718" t="s">
        <v>2150</v>
      </c>
      <c r="C718">
        <v>705300</v>
      </c>
      <c r="D718" t="s">
        <v>2030</v>
      </c>
    </row>
    <row r="719" spans="1:4" ht="15" customHeight="1" x14ac:dyDescent="0.25">
      <c r="A719">
        <v>705400</v>
      </c>
      <c r="B719" t="s">
        <v>2151</v>
      </c>
      <c r="C719">
        <v>705400</v>
      </c>
      <c r="D719" t="s">
        <v>2030</v>
      </c>
    </row>
    <row r="720" spans="1:4" ht="15" customHeight="1" x14ac:dyDescent="0.25">
      <c r="A720">
        <v>706100</v>
      </c>
      <c r="B720" t="s">
        <v>2152</v>
      </c>
      <c r="C720">
        <v>706100</v>
      </c>
      <c r="D720" t="s">
        <v>2030</v>
      </c>
    </row>
    <row r="721" spans="1:4" ht="15" customHeight="1" x14ac:dyDescent="0.25">
      <c r="A721">
        <v>706200</v>
      </c>
      <c r="B721" t="s">
        <v>2153</v>
      </c>
      <c r="C721">
        <v>706200</v>
      </c>
      <c r="D721" t="s">
        <v>2030</v>
      </c>
    </row>
    <row r="722" spans="1:4" ht="15" customHeight="1" x14ac:dyDescent="0.25">
      <c r="A722">
        <v>706300</v>
      </c>
      <c r="B722" t="s">
        <v>2154</v>
      </c>
      <c r="C722">
        <v>706300</v>
      </c>
      <c r="D722" t="s">
        <v>2030</v>
      </c>
    </row>
    <row r="723" spans="1:4" ht="15" customHeight="1" x14ac:dyDescent="0.25">
      <c r="A723">
        <v>721000</v>
      </c>
      <c r="B723" t="s">
        <v>2155</v>
      </c>
      <c r="C723">
        <v>721000</v>
      </c>
      <c r="D723" t="s">
        <v>1446</v>
      </c>
    </row>
    <row r="724" spans="1:4" ht="15" customHeight="1" x14ac:dyDescent="0.25">
      <c r="A724">
        <v>722000</v>
      </c>
      <c r="B724" t="s">
        <v>2156</v>
      </c>
      <c r="C724">
        <v>722000</v>
      </c>
      <c r="D724" t="s">
        <v>1446</v>
      </c>
    </row>
    <row r="725" spans="1:4" ht="15" customHeight="1" x14ac:dyDescent="0.25">
      <c r="A725">
        <v>722100</v>
      </c>
      <c r="B725" t="s">
        <v>2157</v>
      </c>
      <c r="C725">
        <v>722100</v>
      </c>
      <c r="D725" t="s">
        <v>1446</v>
      </c>
    </row>
    <row r="726" spans="1:4" ht="15" customHeight="1" x14ac:dyDescent="0.25">
      <c r="A726">
        <v>722200</v>
      </c>
      <c r="B726" t="s">
        <v>2158</v>
      </c>
      <c r="C726">
        <v>722200</v>
      </c>
      <c r="D726" t="s">
        <v>1446</v>
      </c>
    </row>
    <row r="727" spans="1:4" ht="15" customHeight="1" x14ac:dyDescent="0.25">
      <c r="A727">
        <v>726101</v>
      </c>
      <c r="B727" t="s">
        <v>2159</v>
      </c>
      <c r="C727">
        <v>726101</v>
      </c>
      <c r="D727" t="s">
        <v>1446</v>
      </c>
    </row>
    <row r="728" spans="1:4" ht="15" customHeight="1" x14ac:dyDescent="0.25">
      <c r="A728">
        <v>726102</v>
      </c>
      <c r="B728" t="s">
        <v>2160</v>
      </c>
      <c r="C728">
        <v>726102</v>
      </c>
      <c r="D728" t="s">
        <v>1446</v>
      </c>
    </row>
    <row r="729" spans="1:4" ht="15" customHeight="1" x14ac:dyDescent="0.25">
      <c r="A729">
        <v>726200</v>
      </c>
      <c r="B729" t="s">
        <v>2161</v>
      </c>
      <c r="C729">
        <v>726200</v>
      </c>
      <c r="D729" t="s">
        <v>1446</v>
      </c>
    </row>
    <row r="730" spans="1:4" ht="15" customHeight="1" x14ac:dyDescent="0.25">
      <c r="A730">
        <v>726300</v>
      </c>
      <c r="B730" t="s">
        <v>2162</v>
      </c>
      <c r="C730">
        <v>726300</v>
      </c>
      <c r="D730" t="s">
        <v>1446</v>
      </c>
    </row>
    <row r="731" spans="1:4" ht="15" customHeight="1" x14ac:dyDescent="0.25">
      <c r="A731">
        <v>729100</v>
      </c>
      <c r="B731" t="s">
        <v>2163</v>
      </c>
      <c r="C731">
        <v>729100</v>
      </c>
      <c r="D731" t="s">
        <v>1446</v>
      </c>
    </row>
    <row r="732" spans="1:4" ht="15" customHeight="1" x14ac:dyDescent="0.25">
      <c r="A732">
        <v>729101</v>
      </c>
      <c r="B732" t="s">
        <v>2164</v>
      </c>
      <c r="C732">
        <v>729101</v>
      </c>
      <c r="D732" t="s">
        <v>1446</v>
      </c>
    </row>
    <row r="733" spans="1:4" ht="15" customHeight="1" x14ac:dyDescent="0.25">
      <c r="A733">
        <v>729200</v>
      </c>
      <c r="B733" t="s">
        <v>2165</v>
      </c>
      <c r="C733">
        <v>729200</v>
      </c>
      <c r="D733" t="s">
        <v>1446</v>
      </c>
    </row>
    <row r="734" spans="1:4" ht="15" customHeight="1" x14ac:dyDescent="0.25">
      <c r="A734">
        <v>729201</v>
      </c>
      <c r="B734" t="s">
        <v>2166</v>
      </c>
      <c r="C734">
        <v>729201</v>
      </c>
      <c r="D734" t="s">
        <v>115</v>
      </c>
    </row>
    <row r="735" spans="1:4" ht="15" customHeight="1" x14ac:dyDescent="0.25">
      <c r="A735">
        <v>729300</v>
      </c>
      <c r="B735" t="s">
        <v>2167</v>
      </c>
      <c r="C735">
        <v>729300</v>
      </c>
      <c r="D735" t="s">
        <v>1446</v>
      </c>
    </row>
    <row r="736" spans="1:4" ht="15" customHeight="1" x14ac:dyDescent="0.25">
      <c r="A736">
        <v>729400</v>
      </c>
      <c r="B736" t="s">
        <v>2168</v>
      </c>
      <c r="C736">
        <v>729400</v>
      </c>
      <c r="D736" t="s">
        <v>1446</v>
      </c>
    </row>
    <row r="737" spans="1:4" ht="15" customHeight="1" x14ac:dyDescent="0.25">
      <c r="A737">
        <v>729500</v>
      </c>
      <c r="B737" t="s">
        <v>2169</v>
      </c>
      <c r="C737">
        <v>729500</v>
      </c>
      <c r="D737" t="s">
        <v>1446</v>
      </c>
    </row>
    <row r="738" spans="1:4" ht="15" customHeight="1" x14ac:dyDescent="0.25">
      <c r="A738">
        <v>729600</v>
      </c>
      <c r="B738" t="s">
        <v>2170</v>
      </c>
      <c r="C738">
        <v>729600</v>
      </c>
      <c r="D738" t="s">
        <v>1446</v>
      </c>
    </row>
    <row r="739" spans="1:4" ht="15" customHeight="1" x14ac:dyDescent="0.25">
      <c r="A739">
        <v>729700</v>
      </c>
      <c r="B739" t="s">
        <v>2171</v>
      </c>
      <c r="C739">
        <v>729700</v>
      </c>
      <c r="D739" t="s">
        <v>1446</v>
      </c>
    </row>
    <row r="740" spans="1:4" ht="15" customHeight="1" x14ac:dyDescent="0.25">
      <c r="A740">
        <v>729701</v>
      </c>
      <c r="B740" t="s">
        <v>2172</v>
      </c>
      <c r="C740">
        <v>729701</v>
      </c>
      <c r="D740" t="s">
        <v>1446</v>
      </c>
    </row>
    <row r="741" spans="1:4" ht="15" customHeight="1" x14ac:dyDescent="0.25">
      <c r="A741">
        <v>729702</v>
      </c>
      <c r="B741" t="s">
        <v>2173</v>
      </c>
      <c r="C741">
        <v>729702</v>
      </c>
      <c r="D741" t="s">
        <v>115</v>
      </c>
    </row>
    <row r="742" spans="1:4" ht="15" customHeight="1" x14ac:dyDescent="0.25">
      <c r="A742">
        <v>729800</v>
      </c>
      <c r="B742" t="s">
        <v>2174</v>
      </c>
      <c r="C742">
        <v>729800</v>
      </c>
      <c r="D742" t="s">
        <v>1446</v>
      </c>
    </row>
    <row r="743" spans="1:4" ht="15" customHeight="1" x14ac:dyDescent="0.25">
      <c r="A743">
        <v>729801</v>
      </c>
      <c r="B743" t="s">
        <v>2175</v>
      </c>
      <c r="C743">
        <v>729800</v>
      </c>
      <c r="D743" t="s">
        <v>1446</v>
      </c>
    </row>
    <row r="744" spans="1:4" ht="15" customHeight="1" x14ac:dyDescent="0.25">
      <c r="A744">
        <v>729900</v>
      </c>
      <c r="B744" t="s">
        <v>2176</v>
      </c>
      <c r="C744">
        <v>729900</v>
      </c>
      <c r="D744" t="s">
        <v>1446</v>
      </c>
    </row>
    <row r="745" spans="1:4" ht="15" customHeight="1" x14ac:dyDescent="0.25">
      <c r="A745">
        <v>730100</v>
      </c>
      <c r="B745" t="s">
        <v>2177</v>
      </c>
      <c r="C745">
        <v>730100</v>
      </c>
      <c r="D745" t="s">
        <v>1446</v>
      </c>
    </row>
    <row r="746" spans="1:4" ht="15" customHeight="1" x14ac:dyDescent="0.25">
      <c r="A746">
        <v>731100</v>
      </c>
      <c r="B746" t="s">
        <v>2178</v>
      </c>
      <c r="C746">
        <v>731100</v>
      </c>
      <c r="D746" t="s">
        <v>1446</v>
      </c>
    </row>
    <row r="747" spans="1:4" ht="15" customHeight="1" x14ac:dyDescent="0.25">
      <c r="A747">
        <v>731200</v>
      </c>
      <c r="B747" t="s">
        <v>2179</v>
      </c>
      <c r="C747">
        <v>731200</v>
      </c>
      <c r="D747" t="s">
        <v>2085</v>
      </c>
    </row>
    <row r="748" spans="1:4" ht="15" customHeight="1" x14ac:dyDescent="0.25">
      <c r="A748">
        <v>731300</v>
      </c>
      <c r="B748" t="s">
        <v>2180</v>
      </c>
      <c r="C748">
        <v>731300</v>
      </c>
      <c r="D748" t="s">
        <v>2085</v>
      </c>
    </row>
    <row r="749" spans="1:4" ht="15" customHeight="1" x14ac:dyDescent="0.25">
      <c r="A749">
        <v>731301</v>
      </c>
      <c r="B749" t="s">
        <v>2181</v>
      </c>
      <c r="C749">
        <v>731301</v>
      </c>
      <c r="D749" t="s">
        <v>2085</v>
      </c>
    </row>
    <row r="750" spans="1:4" ht="15" customHeight="1" x14ac:dyDescent="0.25">
      <c r="A750">
        <v>731302</v>
      </c>
      <c r="B750" t="s">
        <v>2182</v>
      </c>
      <c r="C750">
        <v>731302</v>
      </c>
      <c r="D750" t="s">
        <v>2085</v>
      </c>
    </row>
    <row r="751" spans="1:4" ht="15" customHeight="1" x14ac:dyDescent="0.25">
      <c r="A751">
        <v>731303</v>
      </c>
      <c r="B751" t="s">
        <v>2183</v>
      </c>
      <c r="C751">
        <v>731303</v>
      </c>
      <c r="D751" t="s">
        <v>2085</v>
      </c>
    </row>
    <row r="752" spans="1:4" ht="15" customHeight="1" x14ac:dyDescent="0.25">
      <c r="A752">
        <v>732000</v>
      </c>
      <c r="B752" t="s">
        <v>2184</v>
      </c>
      <c r="C752">
        <v>732000</v>
      </c>
      <c r="D752" t="s">
        <v>1446</v>
      </c>
    </row>
    <row r="753" spans="1:4" ht="15" customHeight="1" x14ac:dyDescent="0.25">
      <c r="A753">
        <v>732100</v>
      </c>
      <c r="B753" t="s">
        <v>2185</v>
      </c>
      <c r="C753">
        <v>732100</v>
      </c>
      <c r="D753" t="s">
        <v>1449</v>
      </c>
    </row>
    <row r="754" spans="1:4" ht="15" customHeight="1" x14ac:dyDescent="0.25">
      <c r="A754">
        <v>732101</v>
      </c>
      <c r="B754" t="s">
        <v>2186</v>
      </c>
      <c r="C754">
        <v>732101</v>
      </c>
      <c r="D754" t="s">
        <v>1449</v>
      </c>
    </row>
    <row r="755" spans="1:4" ht="15" customHeight="1" x14ac:dyDescent="0.25">
      <c r="A755">
        <v>732102</v>
      </c>
      <c r="B755" t="s">
        <v>2187</v>
      </c>
      <c r="C755">
        <v>732102</v>
      </c>
      <c r="D755" t="s">
        <v>1449</v>
      </c>
    </row>
    <row r="756" spans="1:4" ht="15" customHeight="1" x14ac:dyDescent="0.25">
      <c r="A756">
        <v>739100</v>
      </c>
      <c r="B756" t="s">
        <v>2188</v>
      </c>
      <c r="C756">
        <v>739100</v>
      </c>
      <c r="D756" t="s">
        <v>1449</v>
      </c>
    </row>
    <row r="757" spans="1:4" ht="15" customHeight="1" x14ac:dyDescent="0.25">
      <c r="A757">
        <v>739200</v>
      </c>
      <c r="B757" t="s">
        <v>2189</v>
      </c>
      <c r="C757">
        <v>739200</v>
      </c>
      <c r="D757" t="s">
        <v>1449</v>
      </c>
    </row>
    <row r="758" spans="1:4" ht="15" customHeight="1" x14ac:dyDescent="0.25">
      <c r="A758">
        <v>739201</v>
      </c>
      <c r="B758" t="s">
        <v>2190</v>
      </c>
      <c r="C758">
        <v>739201</v>
      </c>
      <c r="D758" t="s">
        <v>1449</v>
      </c>
    </row>
    <row r="759" spans="1:4" ht="15" customHeight="1" x14ac:dyDescent="0.25">
      <c r="A759">
        <v>739300</v>
      </c>
      <c r="B759" t="s">
        <v>2191</v>
      </c>
      <c r="C759">
        <v>739300</v>
      </c>
      <c r="D759" t="s">
        <v>1446</v>
      </c>
    </row>
    <row r="760" spans="1:4" ht="15" customHeight="1" x14ac:dyDescent="0.25">
      <c r="A760">
        <v>739400</v>
      </c>
      <c r="B760" t="s">
        <v>2192</v>
      </c>
      <c r="C760">
        <v>739400</v>
      </c>
      <c r="D760" t="s">
        <v>1449</v>
      </c>
    </row>
    <row r="761" spans="1:4" ht="15" customHeight="1" x14ac:dyDescent="0.25">
      <c r="A761">
        <v>739401</v>
      </c>
      <c r="B761" t="s">
        <v>2193</v>
      </c>
      <c r="C761">
        <v>739401</v>
      </c>
      <c r="D761" t="s">
        <v>1449</v>
      </c>
    </row>
    <row r="762" spans="1:4" ht="15" customHeight="1" x14ac:dyDescent="0.25">
      <c r="A762">
        <v>739402</v>
      </c>
      <c r="B762" t="s">
        <v>2194</v>
      </c>
      <c r="C762">
        <v>739402</v>
      </c>
      <c r="D762" t="s">
        <v>1449</v>
      </c>
    </row>
    <row r="763" spans="1:4" ht="15" customHeight="1" x14ac:dyDescent="0.25">
      <c r="A763">
        <v>739500</v>
      </c>
      <c r="B763" t="s">
        <v>2195</v>
      </c>
      <c r="C763">
        <v>739500</v>
      </c>
      <c r="D763" t="s">
        <v>1449</v>
      </c>
    </row>
    <row r="764" spans="1:4" ht="15" customHeight="1" x14ac:dyDescent="0.25">
      <c r="A764">
        <v>739600</v>
      </c>
      <c r="B764" t="s">
        <v>2196</v>
      </c>
      <c r="C764">
        <v>739600</v>
      </c>
      <c r="D764" t="s">
        <v>1449</v>
      </c>
    </row>
    <row r="765" spans="1:4" ht="15" customHeight="1" x14ac:dyDescent="0.25">
      <c r="A765">
        <v>740000</v>
      </c>
      <c r="B765" t="s">
        <v>2197</v>
      </c>
      <c r="C765">
        <v>740000</v>
      </c>
      <c r="D765" t="s">
        <v>1446</v>
      </c>
    </row>
    <row r="766" spans="1:4" ht="15" customHeight="1" x14ac:dyDescent="0.25">
      <c r="A766">
        <v>740100</v>
      </c>
      <c r="B766" t="s">
        <v>2198</v>
      </c>
      <c r="C766">
        <v>740100</v>
      </c>
      <c r="D766" t="s">
        <v>1446</v>
      </c>
    </row>
    <row r="767" spans="1:4" ht="15" customHeight="1" x14ac:dyDescent="0.25">
      <c r="A767">
        <v>740200</v>
      </c>
      <c r="B767" t="s">
        <v>2199</v>
      </c>
      <c r="C767">
        <v>740200</v>
      </c>
      <c r="D767" t="s">
        <v>2030</v>
      </c>
    </row>
    <row r="768" spans="1:4" ht="15" customHeight="1" x14ac:dyDescent="0.25">
      <c r="A768">
        <v>740300</v>
      </c>
      <c r="B768" t="s">
        <v>2200</v>
      </c>
      <c r="C768">
        <v>740300</v>
      </c>
      <c r="D768" t="s">
        <v>1446</v>
      </c>
    </row>
    <row r="769" spans="1:4" ht="15" customHeight="1" x14ac:dyDescent="0.25">
      <c r="A769">
        <v>740400</v>
      </c>
      <c r="B769" t="s">
        <v>2201</v>
      </c>
      <c r="C769">
        <v>740400</v>
      </c>
      <c r="D769" t="s">
        <v>1446</v>
      </c>
    </row>
    <row r="770" spans="1:4" ht="15" customHeight="1" x14ac:dyDescent="0.25">
      <c r="A770">
        <v>740500</v>
      </c>
      <c r="B770" t="s">
        <v>2202</v>
      </c>
      <c r="C770">
        <v>740500</v>
      </c>
      <c r="D770" t="s">
        <v>1446</v>
      </c>
    </row>
    <row r="771" spans="1:4" ht="15" customHeight="1" x14ac:dyDescent="0.25">
      <c r="A771">
        <v>740501</v>
      </c>
      <c r="B771" t="s">
        <v>2203</v>
      </c>
      <c r="C771">
        <v>740501</v>
      </c>
      <c r="D771" t="s">
        <v>1446</v>
      </c>
    </row>
    <row r="772" spans="1:4" ht="15" customHeight="1" x14ac:dyDescent="0.25">
      <c r="A772">
        <v>740600</v>
      </c>
      <c r="B772" t="s">
        <v>2204</v>
      </c>
      <c r="C772">
        <v>740600</v>
      </c>
      <c r="D772" t="s">
        <v>1446</v>
      </c>
    </row>
    <row r="773" spans="1:4" ht="15" customHeight="1" x14ac:dyDescent="0.25">
      <c r="A773">
        <v>740700</v>
      </c>
      <c r="B773" t="s">
        <v>2205</v>
      </c>
      <c r="C773">
        <v>740700</v>
      </c>
      <c r="D773" t="s">
        <v>1446</v>
      </c>
    </row>
    <row r="774" spans="1:4" ht="15" customHeight="1" x14ac:dyDescent="0.25">
      <c r="A774">
        <v>740800</v>
      </c>
      <c r="B774" t="s">
        <v>2206</v>
      </c>
      <c r="C774">
        <v>740800</v>
      </c>
      <c r="D774" t="s">
        <v>1446</v>
      </c>
    </row>
    <row r="775" spans="1:4" ht="15" customHeight="1" x14ac:dyDescent="0.25">
      <c r="A775">
        <v>740801</v>
      </c>
      <c r="B775" t="s">
        <v>2207</v>
      </c>
      <c r="C775">
        <v>740801</v>
      </c>
      <c r="D775" t="s">
        <v>1449</v>
      </c>
    </row>
    <row r="776" spans="1:4" ht="15" customHeight="1" x14ac:dyDescent="0.25">
      <c r="A776">
        <v>740802</v>
      </c>
      <c r="B776" t="s">
        <v>2208</v>
      </c>
      <c r="C776">
        <v>740802</v>
      </c>
      <c r="D776" t="s">
        <v>1446</v>
      </c>
    </row>
    <row r="777" spans="1:4" ht="15" customHeight="1" x14ac:dyDescent="0.25">
      <c r="A777">
        <v>740900</v>
      </c>
      <c r="B777" t="s">
        <v>2209</v>
      </c>
      <c r="C777">
        <v>740900</v>
      </c>
      <c r="D777" t="s">
        <v>1449</v>
      </c>
    </row>
    <row r="778" spans="1:4" ht="15" customHeight="1" x14ac:dyDescent="0.25">
      <c r="A778">
        <v>741000</v>
      </c>
      <c r="B778" t="s">
        <v>2210</v>
      </c>
      <c r="C778">
        <v>741000</v>
      </c>
      <c r="D778" t="s">
        <v>1446</v>
      </c>
    </row>
    <row r="779" spans="1:4" ht="15" customHeight="1" x14ac:dyDescent="0.25">
      <c r="A779">
        <v>741100</v>
      </c>
      <c r="B779" t="s">
        <v>2211</v>
      </c>
      <c r="C779">
        <v>741100</v>
      </c>
      <c r="D779" t="s">
        <v>1449</v>
      </c>
    </row>
    <row r="780" spans="1:4" ht="15" customHeight="1" x14ac:dyDescent="0.25">
      <c r="A780">
        <v>741200</v>
      </c>
      <c r="B780" t="s">
        <v>2212</v>
      </c>
      <c r="C780">
        <v>741200</v>
      </c>
      <c r="D780" t="s">
        <v>1449</v>
      </c>
    </row>
    <row r="781" spans="1:4" ht="15" customHeight="1" x14ac:dyDescent="0.25">
      <c r="A781">
        <v>741300</v>
      </c>
      <c r="B781" t="s">
        <v>2213</v>
      </c>
      <c r="C781">
        <v>741300</v>
      </c>
      <c r="D781" t="s">
        <v>1449</v>
      </c>
    </row>
    <row r="782" spans="1:4" ht="15" customHeight="1" x14ac:dyDescent="0.25">
      <c r="A782">
        <v>741400</v>
      </c>
      <c r="B782" t="s">
        <v>2214</v>
      </c>
      <c r="C782">
        <v>741400</v>
      </c>
      <c r="D782" t="s">
        <v>1449</v>
      </c>
    </row>
    <row r="783" spans="1:4" ht="15" customHeight="1" x14ac:dyDescent="0.25">
      <c r="A783">
        <v>741401</v>
      </c>
      <c r="B783" t="s">
        <v>2215</v>
      </c>
      <c r="C783">
        <v>741401</v>
      </c>
      <c r="D783" t="s">
        <v>2216</v>
      </c>
    </row>
    <row r="784" spans="1:4" ht="15" customHeight="1" x14ac:dyDescent="0.25">
      <c r="A784">
        <v>741402</v>
      </c>
      <c r="B784" t="s">
        <v>2217</v>
      </c>
      <c r="C784">
        <v>741402</v>
      </c>
      <c r="D784" t="s">
        <v>2216</v>
      </c>
    </row>
    <row r="785" spans="1:4" ht="15" customHeight="1" x14ac:dyDescent="0.25">
      <c r="A785">
        <v>741500</v>
      </c>
      <c r="B785" t="s">
        <v>2218</v>
      </c>
      <c r="C785">
        <v>741500</v>
      </c>
      <c r="D785" t="s">
        <v>1449</v>
      </c>
    </row>
    <row r="786" spans="1:4" ht="15" customHeight="1" x14ac:dyDescent="0.25">
      <c r="A786">
        <v>741501</v>
      </c>
      <c r="B786" t="s">
        <v>2219</v>
      </c>
      <c r="C786">
        <v>741501</v>
      </c>
      <c r="D786" t="s">
        <v>2216</v>
      </c>
    </row>
    <row r="787" spans="1:4" ht="15" customHeight="1" x14ac:dyDescent="0.25">
      <c r="A787">
        <v>741502</v>
      </c>
      <c r="B787" t="s">
        <v>2220</v>
      </c>
      <c r="C787">
        <v>741502</v>
      </c>
      <c r="D787" t="s">
        <v>2216</v>
      </c>
    </row>
    <row r="788" spans="1:4" ht="15" customHeight="1" x14ac:dyDescent="0.25">
      <c r="A788">
        <v>741601</v>
      </c>
      <c r="B788" t="s">
        <v>2221</v>
      </c>
      <c r="C788">
        <v>741601</v>
      </c>
      <c r="D788" t="s">
        <v>1446</v>
      </c>
    </row>
    <row r="789" spans="1:4" ht="15" customHeight="1" x14ac:dyDescent="0.25">
      <c r="A789">
        <v>741602</v>
      </c>
      <c r="B789" t="s">
        <v>2222</v>
      </c>
      <c r="C789">
        <v>741602</v>
      </c>
      <c r="D789" t="s">
        <v>115</v>
      </c>
    </row>
    <row r="790" spans="1:4" ht="15" customHeight="1" x14ac:dyDescent="0.25">
      <c r="A790">
        <v>741700</v>
      </c>
      <c r="B790" t="s">
        <v>2223</v>
      </c>
      <c r="C790">
        <v>741700</v>
      </c>
      <c r="D790" t="s">
        <v>1788</v>
      </c>
    </row>
    <row r="791" spans="1:4" ht="15" customHeight="1" x14ac:dyDescent="0.25">
      <c r="A791">
        <v>741800</v>
      </c>
      <c r="B791" t="s">
        <v>2224</v>
      </c>
      <c r="C791">
        <v>741800</v>
      </c>
      <c r="D791" t="s">
        <v>115</v>
      </c>
    </row>
    <row r="792" spans="1:4" ht="15" customHeight="1" x14ac:dyDescent="0.25">
      <c r="A792">
        <v>754100</v>
      </c>
      <c r="B792" t="s">
        <v>2225</v>
      </c>
      <c r="C792">
        <v>754100</v>
      </c>
      <c r="D792" t="s">
        <v>1980</v>
      </c>
    </row>
    <row r="793" spans="1:4" ht="15" customHeight="1" x14ac:dyDescent="0.25">
      <c r="A793">
        <v>754200</v>
      </c>
      <c r="B793" t="s">
        <v>2226</v>
      </c>
      <c r="C793">
        <v>754200</v>
      </c>
      <c r="D793" t="s">
        <v>1980</v>
      </c>
    </row>
    <row r="794" spans="1:4" ht="15" customHeight="1" x14ac:dyDescent="0.25">
      <c r="A794">
        <v>754300</v>
      </c>
      <c r="B794" t="s">
        <v>2227</v>
      </c>
      <c r="C794">
        <v>754300</v>
      </c>
      <c r="D794" t="s">
        <v>1980</v>
      </c>
    </row>
    <row r="795" spans="1:4" ht="15" customHeight="1" x14ac:dyDescent="0.25">
      <c r="A795">
        <v>754400</v>
      </c>
      <c r="B795" t="s">
        <v>2228</v>
      </c>
      <c r="C795">
        <v>754400</v>
      </c>
      <c r="D795" t="s">
        <v>1980</v>
      </c>
    </row>
    <row r="796" spans="1:4" ht="15" customHeight="1" x14ac:dyDescent="0.25">
      <c r="A796">
        <v>769100</v>
      </c>
      <c r="B796" t="s">
        <v>2229</v>
      </c>
      <c r="C796">
        <v>769100</v>
      </c>
      <c r="D796" t="s">
        <v>1449</v>
      </c>
    </row>
    <row r="797" spans="1:4" ht="15" customHeight="1" x14ac:dyDescent="0.25">
      <c r="A797">
        <v>769200</v>
      </c>
      <c r="B797" t="s">
        <v>2230</v>
      </c>
      <c r="C797">
        <v>769200</v>
      </c>
      <c r="D797" t="s">
        <v>115</v>
      </c>
    </row>
    <row r="798" spans="1:4" ht="15" customHeight="1" x14ac:dyDescent="0.25">
      <c r="A798">
        <v>769201</v>
      </c>
      <c r="B798" t="s">
        <v>2231</v>
      </c>
      <c r="C798">
        <v>769201</v>
      </c>
      <c r="D798" t="s">
        <v>115</v>
      </c>
    </row>
    <row r="799" spans="1:4" ht="15" customHeight="1" x14ac:dyDescent="0.25">
      <c r="A799">
        <v>769202</v>
      </c>
      <c r="B799" t="s">
        <v>2232</v>
      </c>
      <c r="C799">
        <v>769201</v>
      </c>
      <c r="D799" t="s">
        <v>1449</v>
      </c>
    </row>
    <row r="800" spans="1:4" ht="15" customHeight="1" x14ac:dyDescent="0.25">
      <c r="A800">
        <v>769203</v>
      </c>
      <c r="B800" t="s">
        <v>2233</v>
      </c>
      <c r="C800">
        <v>769202</v>
      </c>
      <c r="D800" t="s">
        <v>1449</v>
      </c>
    </row>
    <row r="801" spans="1:4" ht="15" customHeight="1" x14ac:dyDescent="0.25">
      <c r="A801">
        <v>769300</v>
      </c>
      <c r="B801" t="s">
        <v>2234</v>
      </c>
      <c r="C801">
        <v>769300</v>
      </c>
      <c r="D801" t="s">
        <v>1449</v>
      </c>
    </row>
    <row r="802" spans="1:4" ht="15" customHeight="1" x14ac:dyDescent="0.25">
      <c r="A802">
        <v>769301</v>
      </c>
      <c r="B802" t="s">
        <v>2235</v>
      </c>
      <c r="C802">
        <v>769301</v>
      </c>
      <c r="D802" t="s">
        <v>1449</v>
      </c>
    </row>
    <row r="803" spans="1:4" ht="15" customHeight="1" x14ac:dyDescent="0.25">
      <c r="A803">
        <v>769400</v>
      </c>
      <c r="B803" t="s">
        <v>2236</v>
      </c>
      <c r="C803">
        <v>769400</v>
      </c>
      <c r="D803" t="s">
        <v>115</v>
      </c>
    </row>
    <row r="804" spans="1:4" ht="15" customHeight="1" x14ac:dyDescent="0.25">
      <c r="A804">
        <v>769500</v>
      </c>
      <c r="B804" t="s">
        <v>2237</v>
      </c>
      <c r="C804">
        <v>769500</v>
      </c>
      <c r="D804" t="s">
        <v>1446</v>
      </c>
    </row>
    <row r="805" spans="1:4" ht="15" customHeight="1" x14ac:dyDescent="0.25">
      <c r="A805">
        <v>781100</v>
      </c>
      <c r="B805" t="s">
        <v>2238</v>
      </c>
      <c r="C805">
        <v>781100</v>
      </c>
      <c r="D805" t="s">
        <v>2239</v>
      </c>
    </row>
    <row r="806" spans="1:4" ht="15" customHeight="1" x14ac:dyDescent="0.25">
      <c r="A806">
        <v>781200</v>
      </c>
      <c r="B806" t="s">
        <v>2240</v>
      </c>
      <c r="C806">
        <v>781200</v>
      </c>
      <c r="D806" t="s">
        <v>2239</v>
      </c>
    </row>
    <row r="807" spans="1:4" ht="15" customHeight="1" x14ac:dyDescent="0.25">
      <c r="A807">
        <v>783100</v>
      </c>
      <c r="B807" t="s">
        <v>2241</v>
      </c>
      <c r="C807">
        <v>783100</v>
      </c>
      <c r="D807" t="s">
        <v>2239</v>
      </c>
    </row>
    <row r="808" spans="1:4" ht="15" customHeight="1" x14ac:dyDescent="0.25">
      <c r="A808">
        <v>783101</v>
      </c>
      <c r="B808" t="s">
        <v>2242</v>
      </c>
      <c r="C808">
        <v>783101</v>
      </c>
      <c r="D808" t="s">
        <v>2239</v>
      </c>
    </row>
    <row r="809" spans="1:4" ht="15" customHeight="1" x14ac:dyDescent="0.25">
      <c r="A809">
        <v>783102</v>
      </c>
      <c r="B809" t="s">
        <v>2243</v>
      </c>
      <c r="C809">
        <v>783102</v>
      </c>
      <c r="D809" t="s">
        <v>2239</v>
      </c>
    </row>
    <row r="810" spans="1:4" ht="15" customHeight="1" x14ac:dyDescent="0.25">
      <c r="A810">
        <v>783201</v>
      </c>
      <c r="B810" t="s">
        <v>2244</v>
      </c>
      <c r="C810">
        <v>783201</v>
      </c>
      <c r="D810" t="s">
        <v>2239</v>
      </c>
    </row>
    <row r="811" spans="1:4" ht="15" customHeight="1" x14ac:dyDescent="0.25">
      <c r="A811">
        <v>783202</v>
      </c>
      <c r="B811" t="s">
        <v>2245</v>
      </c>
      <c r="C811">
        <v>783202</v>
      </c>
      <c r="D811" t="s">
        <v>2239</v>
      </c>
    </row>
    <row r="812" spans="1:4" ht="15" customHeight="1" x14ac:dyDescent="0.25">
      <c r="A812">
        <v>784000</v>
      </c>
      <c r="B812" t="s">
        <v>2246</v>
      </c>
      <c r="C812">
        <v>784000</v>
      </c>
      <c r="D812" t="s">
        <v>2239</v>
      </c>
    </row>
    <row r="813" spans="1:4" ht="15" customHeight="1" x14ac:dyDescent="0.25">
      <c r="A813">
        <v>791100</v>
      </c>
      <c r="B813" t="s">
        <v>2247</v>
      </c>
      <c r="C813">
        <v>791100</v>
      </c>
      <c r="D813" t="s">
        <v>2239</v>
      </c>
    </row>
    <row r="814" spans="1:4" ht="15" customHeight="1" x14ac:dyDescent="0.25">
      <c r="A814">
        <v>791201</v>
      </c>
      <c r="B814" t="s">
        <v>2248</v>
      </c>
      <c r="C814">
        <v>791201</v>
      </c>
      <c r="D814" t="s">
        <v>2239</v>
      </c>
    </row>
    <row r="815" spans="1:4" ht="15" customHeight="1" x14ac:dyDescent="0.25">
      <c r="A815">
        <v>791202</v>
      </c>
      <c r="B815" t="s">
        <v>2249</v>
      </c>
      <c r="C815">
        <v>791202</v>
      </c>
      <c r="D815" t="s">
        <v>2239</v>
      </c>
    </row>
    <row r="816" spans="1:4" ht="15" customHeight="1" x14ac:dyDescent="0.25">
      <c r="A816">
        <v>791300</v>
      </c>
      <c r="B816" t="s">
        <v>2250</v>
      </c>
      <c r="C816">
        <v>791300</v>
      </c>
      <c r="D816" t="s">
        <v>2239</v>
      </c>
    </row>
    <row r="817" spans="1:4" ht="15" customHeight="1" x14ac:dyDescent="0.25">
      <c r="A817">
        <v>791400</v>
      </c>
      <c r="B817" t="s">
        <v>2251</v>
      </c>
      <c r="C817">
        <v>791400</v>
      </c>
      <c r="D817" t="s">
        <v>2239</v>
      </c>
    </row>
    <row r="818" spans="1:4" ht="15" customHeight="1" x14ac:dyDescent="0.25">
      <c r="A818">
        <v>791500</v>
      </c>
      <c r="B818" t="s">
        <v>2252</v>
      </c>
      <c r="C818">
        <v>791500</v>
      </c>
      <c r="D818" t="s">
        <v>2239</v>
      </c>
    </row>
    <row r="819" spans="1:4" ht="15" customHeight="1" x14ac:dyDescent="0.25">
      <c r="A819">
        <v>792000</v>
      </c>
      <c r="B819" t="s">
        <v>2253</v>
      </c>
      <c r="C819">
        <v>792000</v>
      </c>
      <c r="D819" t="s">
        <v>2239</v>
      </c>
    </row>
    <row r="820" spans="1:4" ht="15" customHeight="1" x14ac:dyDescent="0.25">
      <c r="A820">
        <v>792100</v>
      </c>
      <c r="B820" t="s">
        <v>2254</v>
      </c>
      <c r="C820">
        <v>792100</v>
      </c>
      <c r="D820" t="s">
        <v>2239</v>
      </c>
    </row>
    <row r="821" spans="1:4" ht="15" customHeight="1" x14ac:dyDescent="0.25">
      <c r="A821">
        <v>792101</v>
      </c>
      <c r="B821" t="s">
        <v>2255</v>
      </c>
      <c r="C821">
        <v>792101</v>
      </c>
      <c r="D821" t="s">
        <v>2239</v>
      </c>
    </row>
    <row r="822" spans="1:4" ht="15" customHeight="1" x14ac:dyDescent="0.25">
      <c r="A822">
        <v>792102</v>
      </c>
      <c r="B822" t="s">
        <v>2256</v>
      </c>
      <c r="C822">
        <v>792102</v>
      </c>
      <c r="D822" t="s">
        <v>2239</v>
      </c>
    </row>
    <row r="823" spans="1:4" ht="15" customHeight="1" x14ac:dyDescent="0.25">
      <c r="A823">
        <v>792103</v>
      </c>
      <c r="B823" t="s">
        <v>2257</v>
      </c>
      <c r="C823">
        <v>792103</v>
      </c>
      <c r="D823" t="s">
        <v>2239</v>
      </c>
    </row>
    <row r="824" spans="1:4" ht="15" customHeight="1" x14ac:dyDescent="0.25">
      <c r="A824">
        <v>792104</v>
      </c>
      <c r="B824" t="s">
        <v>2258</v>
      </c>
      <c r="C824">
        <v>792104</v>
      </c>
      <c r="D824" t="s">
        <v>2239</v>
      </c>
    </row>
    <row r="825" spans="1:4" ht="15" customHeight="1" x14ac:dyDescent="0.25">
      <c r="A825">
        <v>792105</v>
      </c>
      <c r="B825" t="s">
        <v>2259</v>
      </c>
      <c r="C825">
        <v>792105</v>
      </c>
      <c r="D825" t="s">
        <v>2239</v>
      </c>
    </row>
    <row r="826" spans="1:4" ht="15" customHeight="1" x14ac:dyDescent="0.25">
      <c r="A826">
        <v>792200</v>
      </c>
      <c r="B826" t="s">
        <v>2260</v>
      </c>
      <c r="C826">
        <v>792200</v>
      </c>
      <c r="D826" t="s">
        <v>2239</v>
      </c>
    </row>
    <row r="827" spans="1:4" ht="15" customHeight="1" x14ac:dyDescent="0.25">
      <c r="A827">
        <v>792301</v>
      </c>
      <c r="B827" t="s">
        <v>2261</v>
      </c>
      <c r="C827">
        <v>792301</v>
      </c>
      <c r="D827" t="s">
        <v>2262</v>
      </c>
    </row>
    <row r="828" spans="1:4" ht="15" customHeight="1" x14ac:dyDescent="0.25">
      <c r="A828">
        <v>792302</v>
      </c>
      <c r="B828" t="s">
        <v>2263</v>
      </c>
      <c r="C828">
        <v>792302</v>
      </c>
      <c r="D828" t="s">
        <v>2262</v>
      </c>
    </row>
    <row r="829" spans="1:4" ht="15" customHeight="1" x14ac:dyDescent="0.25">
      <c r="A829">
        <v>792401</v>
      </c>
      <c r="B829" t="s">
        <v>2264</v>
      </c>
      <c r="C829">
        <v>792401</v>
      </c>
      <c r="D829" t="s">
        <v>2262</v>
      </c>
    </row>
    <row r="830" spans="1:4" ht="15" customHeight="1" x14ac:dyDescent="0.25">
      <c r="A830">
        <v>792402</v>
      </c>
      <c r="B830" t="s">
        <v>2265</v>
      </c>
      <c r="C830">
        <v>792402</v>
      </c>
      <c r="D830" t="s">
        <v>2262</v>
      </c>
    </row>
    <row r="831" spans="1:4" ht="15" customHeight="1" x14ac:dyDescent="0.25">
      <c r="A831">
        <v>792500</v>
      </c>
      <c r="B831" t="s">
        <v>2266</v>
      </c>
      <c r="C831">
        <v>792500</v>
      </c>
      <c r="D831" t="s">
        <v>2262</v>
      </c>
    </row>
    <row r="832" spans="1:4" ht="15" customHeight="1" x14ac:dyDescent="0.25">
      <c r="A832">
        <v>792600</v>
      </c>
      <c r="B832" t="s">
        <v>2267</v>
      </c>
      <c r="C832">
        <v>792600</v>
      </c>
      <c r="D832" t="s">
        <v>2262</v>
      </c>
    </row>
    <row r="833" spans="1:4" ht="15" customHeight="1" x14ac:dyDescent="0.25">
      <c r="A833">
        <v>792701</v>
      </c>
      <c r="B833" t="s">
        <v>2268</v>
      </c>
      <c r="C833">
        <v>792701</v>
      </c>
      <c r="D833" t="s">
        <v>2262</v>
      </c>
    </row>
    <row r="834" spans="1:4" ht="15" customHeight="1" x14ac:dyDescent="0.25">
      <c r="A834">
        <v>792702</v>
      </c>
      <c r="B834" t="s">
        <v>2269</v>
      </c>
      <c r="C834">
        <v>792702</v>
      </c>
      <c r="D834" t="s">
        <v>2262</v>
      </c>
    </row>
    <row r="835" spans="1:4" ht="15" customHeight="1" x14ac:dyDescent="0.25">
      <c r="A835">
        <v>792703</v>
      </c>
      <c r="B835" t="s">
        <v>2270</v>
      </c>
      <c r="C835">
        <v>792703</v>
      </c>
      <c r="D835" t="s">
        <v>2262</v>
      </c>
    </row>
    <row r="836" spans="1:4" ht="15" customHeight="1" x14ac:dyDescent="0.25">
      <c r="A836">
        <v>792704</v>
      </c>
      <c r="B836" t="s">
        <v>2271</v>
      </c>
      <c r="C836">
        <v>792704</v>
      </c>
      <c r="D836" t="s">
        <v>2262</v>
      </c>
    </row>
    <row r="837" spans="1:4" ht="15" customHeight="1" x14ac:dyDescent="0.25">
      <c r="A837">
        <v>792801</v>
      </c>
      <c r="B837" t="s">
        <v>2272</v>
      </c>
      <c r="C837">
        <v>792801</v>
      </c>
      <c r="D837" t="s">
        <v>2273</v>
      </c>
    </row>
    <row r="838" spans="1:4" ht="15" customHeight="1" x14ac:dyDescent="0.25">
      <c r="A838">
        <v>792802</v>
      </c>
      <c r="B838" t="s">
        <v>2274</v>
      </c>
      <c r="C838">
        <v>792802</v>
      </c>
      <c r="D838" t="s">
        <v>2273</v>
      </c>
    </row>
    <row r="839" spans="1:4" ht="15" customHeight="1" x14ac:dyDescent="0.25">
      <c r="A839">
        <v>792803</v>
      </c>
      <c r="B839" t="s">
        <v>2275</v>
      </c>
      <c r="C839">
        <v>792803</v>
      </c>
      <c r="D839" t="s">
        <v>2273</v>
      </c>
    </row>
    <row r="840" spans="1:4" ht="15" customHeight="1" x14ac:dyDescent="0.25">
      <c r="A840">
        <v>792804</v>
      </c>
      <c r="B840" t="s">
        <v>2276</v>
      </c>
      <c r="C840">
        <v>792804</v>
      </c>
      <c r="D840" t="s">
        <v>2273</v>
      </c>
    </row>
    <row r="841" spans="1:4" ht="15" customHeight="1" x14ac:dyDescent="0.25">
      <c r="A841">
        <v>792805</v>
      </c>
      <c r="B841" t="s">
        <v>2277</v>
      </c>
      <c r="C841">
        <v>792805</v>
      </c>
      <c r="D841" t="s">
        <v>2273</v>
      </c>
    </row>
    <row r="842" spans="1:4" ht="15" customHeight="1" x14ac:dyDescent="0.25">
      <c r="A842">
        <v>792806</v>
      </c>
      <c r="B842" t="s">
        <v>2278</v>
      </c>
      <c r="C842">
        <v>792806</v>
      </c>
      <c r="D842" t="s">
        <v>2273</v>
      </c>
    </row>
    <row r="843" spans="1:4" ht="15" customHeight="1" x14ac:dyDescent="0.25">
      <c r="A843">
        <v>792807</v>
      </c>
      <c r="B843" t="s">
        <v>2279</v>
      </c>
      <c r="C843">
        <v>792807</v>
      </c>
      <c r="D843" t="s">
        <v>2273</v>
      </c>
    </row>
    <row r="844" spans="1:4" ht="15" customHeight="1" x14ac:dyDescent="0.25">
      <c r="A844">
        <v>792901</v>
      </c>
      <c r="B844" t="s">
        <v>2280</v>
      </c>
      <c r="C844">
        <v>792901</v>
      </c>
      <c r="D844" t="s">
        <v>2273</v>
      </c>
    </row>
    <row r="845" spans="1:4" ht="15" customHeight="1" x14ac:dyDescent="0.25">
      <c r="A845">
        <v>792902</v>
      </c>
      <c r="B845" t="s">
        <v>2281</v>
      </c>
      <c r="C845">
        <v>792902</v>
      </c>
      <c r="D845" t="s">
        <v>2273</v>
      </c>
    </row>
    <row r="846" spans="1:4" ht="15" customHeight="1" x14ac:dyDescent="0.25">
      <c r="A846">
        <v>793101</v>
      </c>
      <c r="B846" t="s">
        <v>2282</v>
      </c>
      <c r="C846">
        <v>793101</v>
      </c>
      <c r="D846" t="s">
        <v>2283</v>
      </c>
    </row>
    <row r="847" spans="1:4" ht="15" customHeight="1" x14ac:dyDescent="0.25">
      <c r="A847">
        <v>793102</v>
      </c>
      <c r="B847" t="s">
        <v>2284</v>
      </c>
      <c r="C847">
        <v>793102</v>
      </c>
      <c r="D847" t="s">
        <v>2283</v>
      </c>
    </row>
    <row r="848" spans="1:4" ht="15" customHeight="1" x14ac:dyDescent="0.25">
      <c r="A848">
        <v>793103</v>
      </c>
      <c r="B848" t="s">
        <v>2285</v>
      </c>
      <c r="C848">
        <v>793103</v>
      </c>
      <c r="D848" t="s">
        <v>2283</v>
      </c>
    </row>
    <row r="849" spans="1:4" ht="15" customHeight="1" x14ac:dyDescent="0.25">
      <c r="A849">
        <v>793200</v>
      </c>
      <c r="B849" t="s">
        <v>2286</v>
      </c>
      <c r="C849">
        <v>793200</v>
      </c>
      <c r="D849" t="s">
        <v>2283</v>
      </c>
    </row>
    <row r="850" spans="1:4" ht="15" customHeight="1" x14ac:dyDescent="0.25">
      <c r="A850">
        <v>793300</v>
      </c>
      <c r="B850" t="s">
        <v>2287</v>
      </c>
      <c r="C850">
        <v>793300</v>
      </c>
      <c r="D850" t="s">
        <v>2283</v>
      </c>
    </row>
    <row r="851" spans="1:4" ht="15" customHeight="1" x14ac:dyDescent="0.25">
      <c r="A851">
        <v>793401</v>
      </c>
      <c r="B851" t="s">
        <v>2288</v>
      </c>
      <c r="C851">
        <v>793401</v>
      </c>
      <c r="D851" t="s">
        <v>2283</v>
      </c>
    </row>
    <row r="852" spans="1:4" ht="15" customHeight="1" x14ac:dyDescent="0.25">
      <c r="A852">
        <v>793402</v>
      </c>
      <c r="B852" t="s">
        <v>2289</v>
      </c>
      <c r="C852">
        <v>793402</v>
      </c>
      <c r="D852" t="s">
        <v>2283</v>
      </c>
    </row>
    <row r="853" spans="1:4" ht="15" customHeight="1" x14ac:dyDescent="0.25">
      <c r="A853">
        <v>793403</v>
      </c>
      <c r="B853" t="s">
        <v>2290</v>
      </c>
      <c r="C853">
        <v>793403</v>
      </c>
      <c r="D853" t="s">
        <v>2283</v>
      </c>
    </row>
    <row r="854" spans="1:4" ht="15" customHeight="1" x14ac:dyDescent="0.25">
      <c r="A854">
        <v>793500</v>
      </c>
      <c r="B854" t="s">
        <v>2291</v>
      </c>
      <c r="C854">
        <v>793500</v>
      </c>
      <c r="D854" t="s">
        <v>2283</v>
      </c>
    </row>
    <row r="855" spans="1:4" ht="15" customHeight="1" x14ac:dyDescent="0.25">
      <c r="A855">
        <v>793600</v>
      </c>
      <c r="B855" t="s">
        <v>2292</v>
      </c>
      <c r="C855">
        <v>793600</v>
      </c>
      <c r="D855" t="s">
        <v>2283</v>
      </c>
    </row>
    <row r="856" spans="1:4" ht="15" customHeight="1" x14ac:dyDescent="0.25">
      <c r="A856">
        <v>793700</v>
      </c>
      <c r="B856" t="s">
        <v>2293</v>
      </c>
      <c r="C856">
        <v>793700</v>
      </c>
      <c r="D856" t="s">
        <v>2283</v>
      </c>
    </row>
    <row r="857" spans="1:4" ht="15" customHeight="1" x14ac:dyDescent="0.25">
      <c r="A857">
        <v>793801</v>
      </c>
      <c r="B857" t="s">
        <v>2294</v>
      </c>
      <c r="C857">
        <v>793801</v>
      </c>
      <c r="D857" t="s">
        <v>2283</v>
      </c>
    </row>
    <row r="858" spans="1:4" ht="15" customHeight="1" x14ac:dyDescent="0.25">
      <c r="A858">
        <v>793802</v>
      </c>
      <c r="B858" t="s">
        <v>2295</v>
      </c>
      <c r="C858">
        <v>793802</v>
      </c>
      <c r="D858" t="s">
        <v>2283</v>
      </c>
    </row>
    <row r="859" spans="1:4" ht="15" customHeight="1" x14ac:dyDescent="0.25">
      <c r="A859">
        <v>793803</v>
      </c>
      <c r="B859" t="s">
        <v>2296</v>
      </c>
      <c r="C859">
        <v>793803</v>
      </c>
      <c r="D859" t="s">
        <v>2283</v>
      </c>
    </row>
    <row r="860" spans="1:4" ht="15" customHeight="1" x14ac:dyDescent="0.25">
      <c r="A860">
        <v>793900</v>
      </c>
      <c r="B860" t="s">
        <v>2297</v>
      </c>
      <c r="C860">
        <v>793900</v>
      </c>
      <c r="D860" t="s">
        <v>2283</v>
      </c>
    </row>
    <row r="861" spans="1:4" ht="15" customHeight="1" x14ac:dyDescent="0.25">
      <c r="A861">
        <v>794100</v>
      </c>
      <c r="B861" t="s">
        <v>2298</v>
      </c>
      <c r="C861">
        <v>794100</v>
      </c>
      <c r="D861" t="s">
        <v>2030</v>
      </c>
    </row>
    <row r="862" spans="1:4" ht="15" customHeight="1" x14ac:dyDescent="0.25">
      <c r="A862">
        <v>794200</v>
      </c>
      <c r="B862" t="s">
        <v>2299</v>
      </c>
      <c r="C862">
        <v>794200</v>
      </c>
      <c r="D862" t="s">
        <v>2030</v>
      </c>
    </row>
    <row r="863" spans="1:4" ht="15" customHeight="1" x14ac:dyDescent="0.25">
      <c r="A863">
        <v>796000</v>
      </c>
      <c r="B863" t="s">
        <v>2300</v>
      </c>
      <c r="C863">
        <v>796000</v>
      </c>
      <c r="D863" t="s">
        <v>2283</v>
      </c>
    </row>
    <row r="864" spans="1:4" ht="15" customHeight="1" x14ac:dyDescent="0.25">
      <c r="A864">
        <v>797000</v>
      </c>
      <c r="B864" t="s">
        <v>2301</v>
      </c>
      <c r="C864">
        <v>797000</v>
      </c>
      <c r="D864" t="s">
        <v>1446</v>
      </c>
    </row>
    <row r="865" spans="1:4" ht="15" customHeight="1" x14ac:dyDescent="0.25">
      <c r="A865">
        <v>798000</v>
      </c>
      <c r="B865" t="s">
        <v>2302</v>
      </c>
      <c r="C865">
        <v>798000</v>
      </c>
      <c r="D865" t="s">
        <v>2283</v>
      </c>
    </row>
    <row r="866" spans="1:4" ht="15" customHeight="1" x14ac:dyDescent="0.25">
      <c r="A866">
        <v>798100</v>
      </c>
      <c r="B866" t="s">
        <v>2303</v>
      </c>
      <c r="C866">
        <v>798100</v>
      </c>
      <c r="D866" t="s">
        <v>2283</v>
      </c>
    </row>
    <row r="867" spans="1:4" ht="15" customHeight="1" x14ac:dyDescent="0.25">
      <c r="A867">
        <v>798100</v>
      </c>
      <c r="B867" t="s">
        <v>2304</v>
      </c>
      <c r="C867">
        <v>798100</v>
      </c>
      <c r="D867" t="s">
        <v>2283</v>
      </c>
    </row>
    <row r="868" spans="1:4" ht="15" customHeight="1" x14ac:dyDescent="0.25">
      <c r="A868">
        <v>798100</v>
      </c>
      <c r="B868" t="s">
        <v>2305</v>
      </c>
      <c r="C868">
        <v>798100</v>
      </c>
      <c r="D868" t="s">
        <v>2283</v>
      </c>
    </row>
    <row r="869" spans="1:4" ht="15" customHeight="1" x14ac:dyDescent="0.25">
      <c r="A869">
        <v>798201</v>
      </c>
      <c r="B869" t="s">
        <v>2306</v>
      </c>
      <c r="C869">
        <v>798201</v>
      </c>
      <c r="D869" t="s">
        <v>2283</v>
      </c>
    </row>
    <row r="870" spans="1:4" ht="15" customHeight="1" x14ac:dyDescent="0.25">
      <c r="A870">
        <v>798202</v>
      </c>
      <c r="B870" t="s">
        <v>2307</v>
      </c>
      <c r="C870">
        <v>798202</v>
      </c>
      <c r="D870" t="s">
        <v>2283</v>
      </c>
    </row>
    <row r="871" spans="1:4" ht="15" customHeight="1" x14ac:dyDescent="0.25">
      <c r="A871">
        <v>798301</v>
      </c>
      <c r="B871" t="s">
        <v>2308</v>
      </c>
      <c r="C871">
        <v>798301</v>
      </c>
      <c r="D871" t="s">
        <v>2283</v>
      </c>
    </row>
    <row r="872" spans="1:4" ht="15" customHeight="1" x14ac:dyDescent="0.25">
      <c r="A872">
        <v>798302</v>
      </c>
      <c r="B872" t="s">
        <v>2309</v>
      </c>
      <c r="C872">
        <v>798302</v>
      </c>
      <c r="D872" t="s">
        <v>2283</v>
      </c>
    </row>
    <row r="873" spans="1:4" ht="15" customHeight="1" x14ac:dyDescent="0.25">
      <c r="A873">
        <v>798400</v>
      </c>
      <c r="B873" t="s">
        <v>2310</v>
      </c>
      <c r="C873">
        <v>798400</v>
      </c>
      <c r="D873" t="s">
        <v>2283</v>
      </c>
    </row>
    <row r="874" spans="1:4" ht="15" customHeight="1" x14ac:dyDescent="0.25">
      <c r="A874">
        <v>798500</v>
      </c>
      <c r="B874" t="s">
        <v>2311</v>
      </c>
      <c r="C874">
        <v>798500</v>
      </c>
      <c r="D874" t="s">
        <v>2283</v>
      </c>
    </row>
    <row r="875" spans="1:4" ht="15" customHeight="1" x14ac:dyDescent="0.25">
      <c r="A875">
        <v>798600</v>
      </c>
      <c r="B875" t="s">
        <v>2312</v>
      </c>
      <c r="C875">
        <v>798600</v>
      </c>
      <c r="D875" t="s">
        <v>2283</v>
      </c>
    </row>
    <row r="876" spans="1:4" ht="15" customHeight="1" x14ac:dyDescent="0.25">
      <c r="A876">
        <v>798700</v>
      </c>
      <c r="B876" t="s">
        <v>2313</v>
      </c>
      <c r="C876">
        <v>798700</v>
      </c>
      <c r="D876" t="s">
        <v>2283</v>
      </c>
    </row>
    <row r="877" spans="1:4" ht="15" customHeight="1" x14ac:dyDescent="0.25">
      <c r="A877">
        <v>798800</v>
      </c>
      <c r="B877" t="s">
        <v>2314</v>
      </c>
      <c r="C877">
        <v>798800</v>
      </c>
      <c r="D877" t="s">
        <v>2283</v>
      </c>
    </row>
    <row r="878" spans="1:4" ht="15" customHeight="1" x14ac:dyDescent="0.25">
      <c r="A878">
        <v>798900</v>
      </c>
      <c r="B878" t="s">
        <v>2315</v>
      </c>
      <c r="C878">
        <v>798900</v>
      </c>
      <c r="D878" t="s">
        <v>2283</v>
      </c>
    </row>
    <row r="879" spans="1:4" ht="15" customHeight="1" x14ac:dyDescent="0.25">
      <c r="A879">
        <v>799100</v>
      </c>
      <c r="B879" t="s">
        <v>2316</v>
      </c>
      <c r="C879">
        <v>799100</v>
      </c>
      <c r="D879" t="s">
        <v>2283</v>
      </c>
    </row>
    <row r="880" spans="1:4" ht="15" customHeight="1" x14ac:dyDescent="0.25">
      <c r="A880">
        <v>799200</v>
      </c>
      <c r="B880" t="s">
        <v>2317</v>
      </c>
      <c r="C880">
        <v>799200</v>
      </c>
      <c r="D880" t="s">
        <v>2283</v>
      </c>
    </row>
    <row r="881" spans="1:4" ht="15" customHeight="1" x14ac:dyDescent="0.25">
      <c r="A881">
        <v>799300</v>
      </c>
      <c r="B881" t="s">
        <v>2318</v>
      </c>
      <c r="C881">
        <v>799300</v>
      </c>
      <c r="D881" t="s">
        <v>2283</v>
      </c>
    </row>
    <row r="882" spans="1:4" ht="15" customHeight="1" x14ac:dyDescent="0.25">
      <c r="A882">
        <v>799400</v>
      </c>
      <c r="B882" t="s">
        <v>2319</v>
      </c>
      <c r="C882">
        <v>799400</v>
      </c>
      <c r="D882" t="s">
        <v>2283</v>
      </c>
    </row>
    <row r="883" spans="1:4" ht="15" customHeight="1" x14ac:dyDescent="0.25">
      <c r="A883">
        <v>799500</v>
      </c>
      <c r="B883" t="s">
        <v>2320</v>
      </c>
      <c r="C883">
        <v>799500</v>
      </c>
      <c r="D883" t="s">
        <v>2283</v>
      </c>
    </row>
    <row r="884" spans="1:4" ht="15" customHeight="1" x14ac:dyDescent="0.25">
      <c r="A884">
        <v>799600</v>
      </c>
      <c r="B884" t="s">
        <v>2321</v>
      </c>
      <c r="C884">
        <v>799600</v>
      </c>
      <c r="D884" t="s">
        <v>2283</v>
      </c>
    </row>
    <row r="885" spans="1:4" ht="15" customHeight="1" x14ac:dyDescent="0.25">
      <c r="A885">
        <v>799700</v>
      </c>
      <c r="B885" t="s">
        <v>2322</v>
      </c>
      <c r="C885">
        <v>799700</v>
      </c>
      <c r="D885" t="s">
        <v>2283</v>
      </c>
    </row>
    <row r="886" spans="1:4" ht="15" customHeight="1" x14ac:dyDescent="0.25">
      <c r="A886">
        <v>799801</v>
      </c>
      <c r="B886" t="s">
        <v>2323</v>
      </c>
      <c r="C886">
        <v>799801</v>
      </c>
      <c r="D886" t="s">
        <v>2283</v>
      </c>
    </row>
    <row r="887" spans="1:4" ht="15" customHeight="1" x14ac:dyDescent="0.25">
      <c r="A887">
        <v>799802</v>
      </c>
      <c r="B887" t="s">
        <v>2324</v>
      </c>
      <c r="C887">
        <v>799802</v>
      </c>
      <c r="D887" t="s">
        <v>2283</v>
      </c>
    </row>
    <row r="888" spans="1:4" ht="15" customHeight="1" x14ac:dyDescent="0.25">
      <c r="A888">
        <v>799803</v>
      </c>
      <c r="B888" t="s">
        <v>2325</v>
      </c>
      <c r="C888">
        <v>799803</v>
      </c>
      <c r="D888" t="s">
        <v>2283</v>
      </c>
    </row>
    <row r="889" spans="1:4" ht="15" customHeight="1" x14ac:dyDescent="0.25">
      <c r="A889">
        <v>799900</v>
      </c>
      <c r="B889" t="s">
        <v>2326</v>
      </c>
      <c r="C889">
        <v>799900</v>
      </c>
      <c r="D889" t="s">
        <v>2283</v>
      </c>
    </row>
    <row r="890" spans="1:4" ht="15" customHeight="1" x14ac:dyDescent="0.25">
      <c r="A890">
        <v>801000</v>
      </c>
      <c r="B890" t="s">
        <v>2327</v>
      </c>
      <c r="C890">
        <v>801000</v>
      </c>
      <c r="D890" t="s">
        <v>2328</v>
      </c>
    </row>
    <row r="891" spans="1:4" ht="15" customHeight="1" x14ac:dyDescent="0.25">
      <c r="A891">
        <v>801001</v>
      </c>
      <c r="B891" t="s">
        <v>2329</v>
      </c>
      <c r="C891">
        <v>801001</v>
      </c>
      <c r="D891" t="s">
        <v>2330</v>
      </c>
    </row>
    <row r="892" spans="1:4" ht="15" customHeight="1" x14ac:dyDescent="0.25">
      <c r="A892">
        <v>801003</v>
      </c>
      <c r="B892" t="s">
        <v>2331</v>
      </c>
      <c r="C892">
        <v>801003</v>
      </c>
      <c r="D892" t="s">
        <v>2330</v>
      </c>
    </row>
    <row r="893" spans="1:4" ht="15" customHeight="1" x14ac:dyDescent="0.25">
      <c r="A893">
        <v>801004</v>
      </c>
      <c r="B893" t="s">
        <v>2332</v>
      </c>
      <c r="C893">
        <v>801004</v>
      </c>
      <c r="D893" t="s">
        <v>2330</v>
      </c>
    </row>
    <row r="894" spans="1:4" ht="15" customHeight="1" x14ac:dyDescent="0.25">
      <c r="A894">
        <v>801100</v>
      </c>
      <c r="B894" t="s">
        <v>2333</v>
      </c>
      <c r="C894">
        <v>801100</v>
      </c>
      <c r="D894" t="s">
        <v>2330</v>
      </c>
    </row>
    <row r="895" spans="1:4" ht="15" customHeight="1" x14ac:dyDescent="0.25">
      <c r="A895">
        <v>801101</v>
      </c>
      <c r="B895" t="s">
        <v>2334</v>
      </c>
      <c r="C895">
        <v>801101</v>
      </c>
      <c r="D895" t="s">
        <v>2330</v>
      </c>
    </row>
    <row r="896" spans="1:4" ht="15" customHeight="1" x14ac:dyDescent="0.25">
      <c r="A896">
        <v>801102</v>
      </c>
      <c r="B896" t="s">
        <v>2335</v>
      </c>
      <c r="C896">
        <v>801102</v>
      </c>
      <c r="D896" t="s">
        <v>2330</v>
      </c>
    </row>
    <row r="897" spans="1:4" ht="15" customHeight="1" x14ac:dyDescent="0.25">
      <c r="A897">
        <v>801200</v>
      </c>
      <c r="B897" t="s">
        <v>2336</v>
      </c>
      <c r="C897">
        <v>801200</v>
      </c>
      <c r="D897" t="s">
        <v>2328</v>
      </c>
    </row>
    <row r="898" spans="1:4" ht="15" customHeight="1" x14ac:dyDescent="0.25">
      <c r="A898">
        <v>801300</v>
      </c>
      <c r="B898" t="s">
        <v>2337</v>
      </c>
      <c r="C898">
        <v>801300</v>
      </c>
      <c r="D898" t="s">
        <v>2330</v>
      </c>
    </row>
    <row r="899" spans="1:4" ht="15" customHeight="1" x14ac:dyDescent="0.25">
      <c r="A899">
        <v>801400</v>
      </c>
      <c r="B899" t="s">
        <v>2338</v>
      </c>
      <c r="C899">
        <v>801400</v>
      </c>
      <c r="D899" t="s">
        <v>2330</v>
      </c>
    </row>
    <row r="900" spans="1:4" ht="15" customHeight="1" x14ac:dyDescent="0.25">
      <c r="A900">
        <v>801401</v>
      </c>
      <c r="B900" t="s">
        <v>2339</v>
      </c>
      <c r="C900">
        <v>801401</v>
      </c>
      <c r="D900" t="s">
        <v>2330</v>
      </c>
    </row>
    <row r="901" spans="1:4" ht="15" customHeight="1" x14ac:dyDescent="0.25">
      <c r="A901">
        <v>801500</v>
      </c>
      <c r="B901" t="s">
        <v>2340</v>
      </c>
      <c r="C901">
        <v>801500</v>
      </c>
      <c r="D901" t="s">
        <v>2328</v>
      </c>
    </row>
    <row r="902" spans="1:4" ht="15" customHeight="1" x14ac:dyDescent="0.25">
      <c r="A902">
        <v>801600</v>
      </c>
      <c r="B902" t="s">
        <v>2341</v>
      </c>
      <c r="C902">
        <v>801600</v>
      </c>
      <c r="D902" t="s">
        <v>2330</v>
      </c>
    </row>
    <row r="903" spans="1:4" ht="15" customHeight="1" x14ac:dyDescent="0.25">
      <c r="A903">
        <v>801601</v>
      </c>
      <c r="B903" t="s">
        <v>2342</v>
      </c>
      <c r="C903">
        <v>801601</v>
      </c>
      <c r="D903" t="s">
        <v>2330</v>
      </c>
    </row>
    <row r="904" spans="1:4" ht="15" customHeight="1" x14ac:dyDescent="0.25">
      <c r="A904">
        <v>801700</v>
      </c>
      <c r="B904" t="s">
        <v>2343</v>
      </c>
      <c r="C904">
        <v>801700</v>
      </c>
      <c r="D904" t="s">
        <v>2328</v>
      </c>
    </row>
    <row r="905" spans="1:4" ht="15" customHeight="1" x14ac:dyDescent="0.25">
      <c r="A905">
        <v>801800</v>
      </c>
      <c r="B905" t="s">
        <v>2344</v>
      </c>
      <c r="C905">
        <v>801800</v>
      </c>
      <c r="D905" t="s">
        <v>2330</v>
      </c>
    </row>
    <row r="906" spans="1:4" ht="15" customHeight="1" x14ac:dyDescent="0.25">
      <c r="A906">
        <v>801801</v>
      </c>
      <c r="B906" t="s">
        <v>2345</v>
      </c>
      <c r="C906">
        <v>801801</v>
      </c>
      <c r="D906" t="s">
        <v>2330</v>
      </c>
    </row>
    <row r="907" spans="1:4" ht="15" customHeight="1" x14ac:dyDescent="0.25">
      <c r="A907">
        <v>801900</v>
      </c>
      <c r="B907" t="s">
        <v>2346</v>
      </c>
      <c r="C907">
        <v>801900</v>
      </c>
      <c r="D907" t="s">
        <v>2330</v>
      </c>
    </row>
    <row r="908" spans="1:4" ht="15" customHeight="1" x14ac:dyDescent="0.25">
      <c r="A908">
        <v>802100</v>
      </c>
      <c r="B908" t="s">
        <v>2347</v>
      </c>
      <c r="C908">
        <v>802100</v>
      </c>
      <c r="D908" t="s">
        <v>2330</v>
      </c>
    </row>
    <row r="909" spans="1:4" ht="15" customHeight="1" x14ac:dyDescent="0.25">
      <c r="A909">
        <v>802200</v>
      </c>
      <c r="B909" t="s">
        <v>2348</v>
      </c>
      <c r="C909">
        <v>802200</v>
      </c>
      <c r="D909" t="s">
        <v>2330</v>
      </c>
    </row>
    <row r="910" spans="1:4" ht="15" customHeight="1" x14ac:dyDescent="0.25">
      <c r="A910">
        <v>802201</v>
      </c>
      <c r="B910" t="s">
        <v>2349</v>
      </c>
      <c r="C910">
        <v>802201</v>
      </c>
      <c r="D910" t="s">
        <v>2330</v>
      </c>
    </row>
    <row r="911" spans="1:4" ht="15" customHeight="1" x14ac:dyDescent="0.25">
      <c r="A911">
        <v>802300</v>
      </c>
      <c r="B911" t="s">
        <v>2350</v>
      </c>
      <c r="C911">
        <v>802300</v>
      </c>
      <c r="D911" t="s">
        <v>2330</v>
      </c>
    </row>
    <row r="912" spans="1:4" ht="15" customHeight="1" x14ac:dyDescent="0.25">
      <c r="A912">
        <v>802400</v>
      </c>
      <c r="B912" t="s">
        <v>2351</v>
      </c>
      <c r="C912">
        <v>802400</v>
      </c>
      <c r="D912" t="s">
        <v>2330</v>
      </c>
    </row>
    <row r="913" spans="1:4" ht="15" customHeight="1" x14ac:dyDescent="0.25">
      <c r="A913">
        <v>802500</v>
      </c>
      <c r="B913" t="s">
        <v>2352</v>
      </c>
      <c r="C913">
        <v>802500</v>
      </c>
      <c r="D913" t="s">
        <v>2330</v>
      </c>
    </row>
    <row r="914" spans="1:4" ht="15" customHeight="1" x14ac:dyDescent="0.25">
      <c r="A914">
        <v>802501</v>
      </c>
      <c r="B914" t="s">
        <v>2353</v>
      </c>
      <c r="C914">
        <v>802501</v>
      </c>
      <c r="D914" t="s">
        <v>2330</v>
      </c>
    </row>
    <row r="915" spans="1:4" ht="15" customHeight="1" x14ac:dyDescent="0.25">
      <c r="A915">
        <v>802600</v>
      </c>
      <c r="B915" t="s">
        <v>2354</v>
      </c>
      <c r="C915">
        <v>802600</v>
      </c>
      <c r="D915" t="s">
        <v>2330</v>
      </c>
    </row>
    <row r="916" spans="1:4" ht="15" customHeight="1" x14ac:dyDescent="0.25">
      <c r="A916">
        <v>802700</v>
      </c>
      <c r="B916" t="s">
        <v>2355</v>
      </c>
      <c r="C916">
        <v>802700</v>
      </c>
      <c r="D916" t="s">
        <v>2330</v>
      </c>
    </row>
    <row r="917" spans="1:4" ht="15" customHeight="1" x14ac:dyDescent="0.25">
      <c r="A917">
        <v>802701</v>
      </c>
      <c r="B917" t="s">
        <v>2356</v>
      </c>
      <c r="C917">
        <v>802701</v>
      </c>
      <c r="D917" t="s">
        <v>2330</v>
      </c>
    </row>
    <row r="918" spans="1:4" ht="15" customHeight="1" x14ac:dyDescent="0.25">
      <c r="A918">
        <v>802800</v>
      </c>
      <c r="B918" t="s">
        <v>2357</v>
      </c>
      <c r="C918">
        <v>802800</v>
      </c>
      <c r="D918" t="s">
        <v>2328</v>
      </c>
    </row>
    <row r="919" spans="1:4" ht="15" customHeight="1" x14ac:dyDescent="0.25">
      <c r="A919">
        <v>802900</v>
      </c>
      <c r="B919" t="s">
        <v>2358</v>
      </c>
      <c r="C919">
        <v>802900</v>
      </c>
      <c r="D919" t="s">
        <v>2359</v>
      </c>
    </row>
    <row r="920" spans="1:4" ht="15" customHeight="1" x14ac:dyDescent="0.25">
      <c r="A920">
        <v>806100</v>
      </c>
      <c r="B920" t="s">
        <v>2360</v>
      </c>
      <c r="C920">
        <v>806100</v>
      </c>
      <c r="D920" t="s">
        <v>2328</v>
      </c>
    </row>
    <row r="921" spans="1:4" ht="15" customHeight="1" x14ac:dyDescent="0.25">
      <c r="A921">
        <v>806200</v>
      </c>
      <c r="B921" t="s">
        <v>2361</v>
      </c>
      <c r="C921">
        <v>806200</v>
      </c>
      <c r="D921" t="s">
        <v>2328</v>
      </c>
    </row>
    <row r="922" spans="1:4" ht="15" customHeight="1" x14ac:dyDescent="0.25">
      <c r="A922">
        <v>806300</v>
      </c>
      <c r="B922" t="s">
        <v>2362</v>
      </c>
      <c r="C922">
        <v>806300</v>
      </c>
      <c r="D922" t="s">
        <v>2328</v>
      </c>
    </row>
    <row r="923" spans="1:4" ht="15" customHeight="1" x14ac:dyDescent="0.25">
      <c r="A923">
        <v>806400</v>
      </c>
      <c r="B923" t="s">
        <v>2363</v>
      </c>
      <c r="C923">
        <v>806400</v>
      </c>
      <c r="D923" t="s">
        <v>2328</v>
      </c>
    </row>
    <row r="924" spans="1:4" ht="15" customHeight="1" x14ac:dyDescent="0.25">
      <c r="A924">
        <v>806500</v>
      </c>
      <c r="B924" t="s">
        <v>2364</v>
      </c>
      <c r="C924">
        <v>806500</v>
      </c>
      <c r="D924" t="s">
        <v>2328</v>
      </c>
    </row>
    <row r="925" spans="1:4" ht="15" customHeight="1" x14ac:dyDescent="0.25">
      <c r="A925">
        <v>806600</v>
      </c>
      <c r="B925" t="s">
        <v>2365</v>
      </c>
      <c r="C925">
        <v>806600</v>
      </c>
      <c r="D925" t="s">
        <v>2328</v>
      </c>
    </row>
    <row r="926" spans="1:4" ht="15" customHeight="1" x14ac:dyDescent="0.25">
      <c r="A926">
        <v>807200</v>
      </c>
      <c r="B926" t="s">
        <v>2366</v>
      </c>
      <c r="C926">
        <v>807200</v>
      </c>
      <c r="D926" t="s">
        <v>2328</v>
      </c>
    </row>
    <row r="927" spans="1:4" ht="15" customHeight="1" x14ac:dyDescent="0.25">
      <c r="A927">
        <v>807300</v>
      </c>
      <c r="B927" t="s">
        <v>2367</v>
      </c>
      <c r="C927">
        <v>807300</v>
      </c>
      <c r="D927" t="s">
        <v>2328</v>
      </c>
    </row>
    <row r="928" spans="1:4" ht="15" customHeight="1" x14ac:dyDescent="0.25">
      <c r="A928">
        <v>807400</v>
      </c>
      <c r="B928" t="s">
        <v>2368</v>
      </c>
      <c r="C928">
        <v>807400</v>
      </c>
      <c r="D928" t="s">
        <v>2328</v>
      </c>
    </row>
    <row r="929" spans="1:4" ht="15" customHeight="1" x14ac:dyDescent="0.25">
      <c r="A929">
        <v>807500</v>
      </c>
      <c r="B929" t="s">
        <v>2369</v>
      </c>
      <c r="C929">
        <v>807500</v>
      </c>
      <c r="D929" t="s">
        <v>2328</v>
      </c>
    </row>
    <row r="930" spans="1:4" ht="15" customHeight="1" x14ac:dyDescent="0.25">
      <c r="A930">
        <v>807600</v>
      </c>
      <c r="B930" t="s">
        <v>2370</v>
      </c>
      <c r="C930">
        <v>807600</v>
      </c>
      <c r="D930" t="s">
        <v>2328</v>
      </c>
    </row>
    <row r="931" spans="1:4" ht="15" customHeight="1" x14ac:dyDescent="0.25">
      <c r="A931">
        <v>808001</v>
      </c>
      <c r="B931" t="s">
        <v>2371</v>
      </c>
      <c r="C931">
        <v>808001</v>
      </c>
      <c r="D931" t="s">
        <v>2328</v>
      </c>
    </row>
    <row r="932" spans="1:4" ht="15" customHeight="1" x14ac:dyDescent="0.25">
      <c r="A932">
        <v>808002</v>
      </c>
      <c r="B932" t="s">
        <v>2372</v>
      </c>
      <c r="C932">
        <v>808002</v>
      </c>
      <c r="D932" t="s">
        <v>2328</v>
      </c>
    </row>
    <row r="933" spans="1:4" ht="15" customHeight="1" x14ac:dyDescent="0.25">
      <c r="A933">
        <v>808003</v>
      </c>
      <c r="B933" t="s">
        <v>2373</v>
      </c>
      <c r="C933">
        <v>808003</v>
      </c>
      <c r="D933" t="s">
        <v>2328</v>
      </c>
    </row>
    <row r="934" spans="1:4" ht="15" customHeight="1" x14ac:dyDescent="0.25">
      <c r="A934">
        <v>808004</v>
      </c>
      <c r="B934" t="s">
        <v>2374</v>
      </c>
      <c r="C934">
        <v>808004</v>
      </c>
      <c r="D934" t="s">
        <v>2330</v>
      </c>
    </row>
    <row r="935" spans="1:4" ht="15" customHeight="1" x14ac:dyDescent="0.25">
      <c r="A935">
        <v>808005</v>
      </c>
      <c r="B935" t="s">
        <v>2375</v>
      </c>
      <c r="C935">
        <v>808005</v>
      </c>
      <c r="D935" t="s">
        <v>2330</v>
      </c>
    </row>
    <row r="936" spans="1:4" ht="15" customHeight="1" x14ac:dyDescent="0.25">
      <c r="A936">
        <v>808100</v>
      </c>
      <c r="B936" t="s">
        <v>2376</v>
      </c>
      <c r="C936">
        <v>808100</v>
      </c>
      <c r="D936" t="s">
        <v>2328</v>
      </c>
    </row>
    <row r="937" spans="1:4" ht="15" customHeight="1" x14ac:dyDescent="0.25">
      <c r="A937">
        <v>808200</v>
      </c>
      <c r="B937" t="s">
        <v>2377</v>
      </c>
      <c r="C937">
        <v>808200</v>
      </c>
      <c r="D937" t="s">
        <v>2328</v>
      </c>
    </row>
    <row r="938" spans="1:4" ht="15" customHeight="1" x14ac:dyDescent="0.25">
      <c r="A938">
        <v>808300</v>
      </c>
      <c r="B938" t="s">
        <v>2378</v>
      </c>
      <c r="C938">
        <v>808300</v>
      </c>
      <c r="D938" t="s">
        <v>2330</v>
      </c>
    </row>
    <row r="939" spans="1:4" ht="15" customHeight="1" x14ac:dyDescent="0.25">
      <c r="A939">
        <v>808400</v>
      </c>
      <c r="B939" t="s">
        <v>2379</v>
      </c>
      <c r="C939">
        <v>808400</v>
      </c>
      <c r="D939" t="s">
        <v>2328</v>
      </c>
    </row>
    <row r="940" spans="1:4" ht="15" customHeight="1" x14ac:dyDescent="0.25">
      <c r="A940">
        <v>808500</v>
      </c>
      <c r="B940" t="s">
        <v>2380</v>
      </c>
      <c r="C940">
        <v>808500</v>
      </c>
      <c r="D940" t="s">
        <v>2328</v>
      </c>
    </row>
    <row r="941" spans="1:4" ht="15" customHeight="1" x14ac:dyDescent="0.25">
      <c r="A941">
        <v>808501</v>
      </c>
      <c r="B941" t="s">
        <v>2381</v>
      </c>
      <c r="C941">
        <v>808501</v>
      </c>
      <c r="D941" t="s">
        <v>2328</v>
      </c>
    </row>
    <row r="942" spans="1:4" ht="15" customHeight="1" x14ac:dyDescent="0.25">
      <c r="A942">
        <v>811100</v>
      </c>
      <c r="B942" t="s">
        <v>2382</v>
      </c>
      <c r="C942">
        <v>811100</v>
      </c>
      <c r="D942" t="s">
        <v>2085</v>
      </c>
    </row>
    <row r="943" spans="1:4" ht="15" customHeight="1" x14ac:dyDescent="0.25">
      <c r="A943">
        <v>811200</v>
      </c>
      <c r="B943" t="s">
        <v>2383</v>
      </c>
      <c r="C943">
        <v>811200</v>
      </c>
      <c r="D943" t="s">
        <v>2085</v>
      </c>
    </row>
    <row r="944" spans="1:4" ht="15" customHeight="1" x14ac:dyDescent="0.25">
      <c r="A944">
        <v>819302</v>
      </c>
      <c r="B944" t="s">
        <v>2384</v>
      </c>
      <c r="C944">
        <v>819302</v>
      </c>
      <c r="D944" t="s">
        <v>1844</v>
      </c>
    </row>
    <row r="945" spans="1:4" ht="15" customHeight="1" x14ac:dyDescent="0.25">
      <c r="A945">
        <v>829100</v>
      </c>
      <c r="B945" t="s">
        <v>2385</v>
      </c>
      <c r="C945">
        <v>829100</v>
      </c>
      <c r="D945" t="s">
        <v>2283</v>
      </c>
    </row>
    <row r="946" spans="1:4" ht="15" customHeight="1" x14ac:dyDescent="0.25">
      <c r="A946">
        <v>829200</v>
      </c>
      <c r="B946" t="s">
        <v>2386</v>
      </c>
      <c r="C946">
        <v>829200</v>
      </c>
      <c r="D946" t="s">
        <v>2283</v>
      </c>
    </row>
    <row r="947" spans="1:4" ht="15" customHeight="1" x14ac:dyDescent="0.25">
      <c r="A947">
        <v>829200</v>
      </c>
      <c r="B947" t="s">
        <v>2387</v>
      </c>
      <c r="C947">
        <v>829200</v>
      </c>
      <c r="D947" t="s">
        <v>2283</v>
      </c>
    </row>
    <row r="948" spans="1:4" ht="15" customHeight="1" x14ac:dyDescent="0.25">
      <c r="A948">
        <v>829300</v>
      </c>
      <c r="B948" t="s">
        <v>2388</v>
      </c>
      <c r="C948">
        <v>829300</v>
      </c>
      <c r="D948" t="s">
        <v>2283</v>
      </c>
    </row>
    <row r="949" spans="1:4" ht="15" customHeight="1" x14ac:dyDescent="0.25">
      <c r="A949">
        <v>830100</v>
      </c>
      <c r="B949" t="s">
        <v>2389</v>
      </c>
      <c r="C949">
        <v>830100</v>
      </c>
      <c r="D949" t="s">
        <v>2390</v>
      </c>
    </row>
    <row r="950" spans="1:4" ht="15" customHeight="1" x14ac:dyDescent="0.25">
      <c r="A950">
        <v>830200</v>
      </c>
      <c r="B950" t="s">
        <v>2391</v>
      </c>
      <c r="C950">
        <v>830200</v>
      </c>
      <c r="D950" t="s">
        <v>2390</v>
      </c>
    </row>
    <row r="951" spans="1:4" ht="15" customHeight="1" x14ac:dyDescent="0.25">
      <c r="A951">
        <v>830300</v>
      </c>
      <c r="B951" t="s">
        <v>2392</v>
      </c>
      <c r="C951">
        <v>830300</v>
      </c>
      <c r="D951" t="s">
        <v>2390</v>
      </c>
    </row>
    <row r="952" spans="1:4" ht="15" customHeight="1" x14ac:dyDescent="0.25">
      <c r="A952">
        <v>830400</v>
      </c>
      <c r="B952" t="s">
        <v>2393</v>
      </c>
      <c r="C952">
        <v>830400</v>
      </c>
      <c r="D952" t="s">
        <v>2390</v>
      </c>
    </row>
    <row r="953" spans="1:4" ht="15" customHeight="1" x14ac:dyDescent="0.25">
      <c r="A953">
        <v>831000</v>
      </c>
      <c r="B953" t="s">
        <v>2394</v>
      </c>
      <c r="C953">
        <v>831000</v>
      </c>
      <c r="D953" t="s">
        <v>2390</v>
      </c>
    </row>
    <row r="954" spans="1:4" ht="15" customHeight="1" x14ac:dyDescent="0.25">
      <c r="A954">
        <v>832200</v>
      </c>
      <c r="B954" t="s">
        <v>2395</v>
      </c>
      <c r="C954">
        <v>832200</v>
      </c>
      <c r="D954" t="s">
        <v>2390</v>
      </c>
    </row>
    <row r="955" spans="1:4" ht="15" customHeight="1" x14ac:dyDescent="0.25">
      <c r="A955">
        <v>832300</v>
      </c>
      <c r="B955" t="s">
        <v>2396</v>
      </c>
      <c r="C955">
        <v>832300</v>
      </c>
      <c r="D955" t="s">
        <v>2390</v>
      </c>
    </row>
    <row r="956" spans="1:4" ht="15" customHeight="1" x14ac:dyDescent="0.25">
      <c r="A956">
        <v>832400</v>
      </c>
      <c r="B956" t="s">
        <v>2397</v>
      </c>
      <c r="C956">
        <v>832400</v>
      </c>
      <c r="D956" t="s">
        <v>2390</v>
      </c>
    </row>
    <row r="957" spans="1:4" ht="15" customHeight="1" x14ac:dyDescent="0.25">
      <c r="A957">
        <v>832500</v>
      </c>
      <c r="B957" t="s">
        <v>2398</v>
      </c>
      <c r="C957">
        <v>832500</v>
      </c>
      <c r="D957" t="s">
        <v>2390</v>
      </c>
    </row>
    <row r="958" spans="1:4" ht="15" customHeight="1" x14ac:dyDescent="0.25">
      <c r="A958">
        <v>832501</v>
      </c>
      <c r="B958" t="s">
        <v>2399</v>
      </c>
      <c r="C958">
        <v>832501</v>
      </c>
      <c r="D958" t="s">
        <v>2400</v>
      </c>
    </row>
    <row r="959" spans="1:4" ht="15" customHeight="1" x14ac:dyDescent="0.25">
      <c r="A959">
        <v>862000</v>
      </c>
      <c r="B959" t="s">
        <v>2401</v>
      </c>
      <c r="C959">
        <v>862000</v>
      </c>
      <c r="D959" t="s">
        <v>1431</v>
      </c>
    </row>
    <row r="960" spans="1:4" ht="15" customHeight="1" x14ac:dyDescent="0.25">
      <c r="A960">
        <v>863000</v>
      </c>
      <c r="B960" t="s">
        <v>2402</v>
      </c>
      <c r="C960">
        <v>863000</v>
      </c>
      <c r="D960" t="s">
        <v>1431</v>
      </c>
    </row>
    <row r="961" spans="1:4" ht="15" customHeight="1" x14ac:dyDescent="0.25">
      <c r="A961">
        <v>864100</v>
      </c>
      <c r="B961" t="s">
        <v>2403</v>
      </c>
      <c r="C961">
        <v>864100</v>
      </c>
      <c r="D961" t="s">
        <v>1431</v>
      </c>
    </row>
    <row r="962" spans="1:4" ht="15" customHeight="1" x14ac:dyDescent="0.25">
      <c r="A962">
        <v>864200</v>
      </c>
      <c r="B962" t="s">
        <v>2404</v>
      </c>
      <c r="C962">
        <v>864200</v>
      </c>
      <c r="D962" t="s">
        <v>1431</v>
      </c>
    </row>
    <row r="963" spans="1:4" ht="15" customHeight="1" x14ac:dyDescent="0.25">
      <c r="A963">
        <v>864300</v>
      </c>
      <c r="B963" t="s">
        <v>2405</v>
      </c>
      <c r="C963">
        <v>864300</v>
      </c>
      <c r="D963" t="s">
        <v>1431</v>
      </c>
    </row>
    <row r="964" spans="1:4" ht="15" customHeight="1" x14ac:dyDescent="0.25">
      <c r="A964">
        <v>864400</v>
      </c>
      <c r="B964" t="s">
        <v>2406</v>
      </c>
      <c r="C964">
        <v>864400</v>
      </c>
      <c r="D964" t="s">
        <v>1431</v>
      </c>
    </row>
    <row r="965" spans="1:4" ht="15" customHeight="1" x14ac:dyDescent="0.25">
      <c r="A965">
        <v>865000</v>
      </c>
      <c r="B965" t="s">
        <v>2407</v>
      </c>
      <c r="C965">
        <v>865000</v>
      </c>
      <c r="D965" t="s">
        <v>1431</v>
      </c>
    </row>
    <row r="966" spans="1:4" ht="15" customHeight="1" x14ac:dyDescent="0.25">
      <c r="A966">
        <v>866000</v>
      </c>
      <c r="B966" t="s">
        <v>2408</v>
      </c>
      <c r="C966">
        <v>866000</v>
      </c>
      <c r="D966" t="s">
        <v>1431</v>
      </c>
    </row>
    <row r="967" spans="1:4" ht="15" customHeight="1" x14ac:dyDescent="0.25">
      <c r="A967">
        <v>866100</v>
      </c>
      <c r="B967" t="s">
        <v>2409</v>
      </c>
      <c r="C967">
        <v>866100</v>
      </c>
      <c r="D967" t="s">
        <v>1431</v>
      </c>
    </row>
    <row r="968" spans="1:4" ht="15" customHeight="1" x14ac:dyDescent="0.25">
      <c r="A968">
        <v>867100</v>
      </c>
      <c r="B968" t="s">
        <v>2410</v>
      </c>
      <c r="C968">
        <v>867100</v>
      </c>
      <c r="D968" t="s">
        <v>1431</v>
      </c>
    </row>
    <row r="969" spans="1:4" ht="15" customHeight="1" x14ac:dyDescent="0.25">
      <c r="A969">
        <v>867200</v>
      </c>
      <c r="B969" t="s">
        <v>2411</v>
      </c>
      <c r="C969">
        <v>867200</v>
      </c>
      <c r="D969" t="s">
        <v>1431</v>
      </c>
    </row>
    <row r="970" spans="1:4" ht="15" customHeight="1" x14ac:dyDescent="0.25">
      <c r="A970">
        <v>867300</v>
      </c>
      <c r="B970" t="s">
        <v>2412</v>
      </c>
      <c r="C970">
        <v>867300</v>
      </c>
      <c r="D970" t="s">
        <v>1431</v>
      </c>
    </row>
    <row r="971" spans="1:4" ht="15" customHeight="1" x14ac:dyDescent="0.25">
      <c r="A971">
        <v>891000</v>
      </c>
      <c r="B971" t="s">
        <v>2413</v>
      </c>
      <c r="C971">
        <v>891000</v>
      </c>
      <c r="D971" t="s">
        <v>2085</v>
      </c>
    </row>
    <row r="972" spans="1:4" ht="15" customHeight="1" x14ac:dyDescent="0.25">
      <c r="A972">
        <v>891100</v>
      </c>
      <c r="B972" t="s">
        <v>2414</v>
      </c>
      <c r="C972">
        <v>891100</v>
      </c>
      <c r="D972" t="s">
        <v>2085</v>
      </c>
    </row>
    <row r="973" spans="1:4" ht="15" customHeight="1" x14ac:dyDescent="0.25">
      <c r="A973">
        <v>891200</v>
      </c>
      <c r="B973" t="s">
        <v>2415</v>
      </c>
      <c r="C973">
        <v>891200</v>
      </c>
      <c r="D973" t="s">
        <v>2085</v>
      </c>
    </row>
    <row r="974" spans="1:4" ht="15" customHeight="1" x14ac:dyDescent="0.25">
      <c r="A974">
        <v>891300</v>
      </c>
      <c r="B974" t="s">
        <v>2416</v>
      </c>
      <c r="C974">
        <v>891300</v>
      </c>
      <c r="D974" t="s">
        <v>2085</v>
      </c>
    </row>
    <row r="975" spans="1:4" ht="15" customHeight="1" x14ac:dyDescent="0.25">
      <c r="A975">
        <v>891400</v>
      </c>
      <c r="B975" t="s">
        <v>2417</v>
      </c>
      <c r="C975">
        <v>891400</v>
      </c>
      <c r="D975" t="s">
        <v>2085</v>
      </c>
    </row>
    <row r="976" spans="1:4" ht="15" customHeight="1" x14ac:dyDescent="0.25">
      <c r="A976">
        <v>891500</v>
      </c>
      <c r="B976" t="s">
        <v>2418</v>
      </c>
      <c r="C976">
        <v>891500</v>
      </c>
      <c r="D976" t="s">
        <v>2085</v>
      </c>
    </row>
    <row r="977" spans="1:4" ht="15" customHeight="1" x14ac:dyDescent="0.25">
      <c r="A977">
        <v>891502</v>
      </c>
      <c r="B977" t="s">
        <v>2419</v>
      </c>
      <c r="C977">
        <v>891502</v>
      </c>
      <c r="D977" t="s">
        <v>2085</v>
      </c>
    </row>
    <row r="978" spans="1:4" ht="15" customHeight="1" x14ac:dyDescent="0.25">
      <c r="A978">
        <v>891600</v>
      </c>
      <c r="B978" t="s">
        <v>2420</v>
      </c>
      <c r="C978">
        <v>891600</v>
      </c>
      <c r="D978" t="s">
        <v>2085</v>
      </c>
    </row>
    <row r="979" spans="1:4" ht="15" customHeight="1" x14ac:dyDescent="0.25">
      <c r="A979">
        <v>891700</v>
      </c>
      <c r="B979" t="s">
        <v>2421</v>
      </c>
      <c r="C979">
        <v>891700</v>
      </c>
      <c r="D979" t="s">
        <v>2085</v>
      </c>
    </row>
    <row r="980" spans="1:4" ht="15" customHeight="1" x14ac:dyDescent="0.25">
      <c r="A980">
        <v>891800</v>
      </c>
      <c r="B980" t="s">
        <v>2422</v>
      </c>
      <c r="C980">
        <v>891800</v>
      </c>
      <c r="D980" t="s">
        <v>2085</v>
      </c>
    </row>
    <row r="981" spans="1:4" ht="15" customHeight="1" x14ac:dyDescent="0.25">
      <c r="A981">
        <v>894001</v>
      </c>
      <c r="B981" t="s">
        <v>2423</v>
      </c>
      <c r="C981">
        <v>894001</v>
      </c>
      <c r="D981" t="s">
        <v>2424</v>
      </c>
    </row>
    <row r="982" spans="1:4" ht="15" customHeight="1" x14ac:dyDescent="0.25">
      <c r="A982">
        <v>894002</v>
      </c>
      <c r="B982" t="s">
        <v>2425</v>
      </c>
      <c r="C982">
        <v>894002</v>
      </c>
      <c r="D982" t="s">
        <v>2424</v>
      </c>
    </row>
    <row r="983" spans="1:4" ht="15" customHeight="1" x14ac:dyDescent="0.25">
      <c r="A983">
        <v>894003</v>
      </c>
      <c r="B983" t="s">
        <v>2426</v>
      </c>
      <c r="C983">
        <v>894003</v>
      </c>
      <c r="D983" t="s">
        <v>2424</v>
      </c>
    </row>
    <row r="984" spans="1:4" ht="15" customHeight="1" x14ac:dyDescent="0.25">
      <c r="A984">
        <v>894100</v>
      </c>
      <c r="B984" t="s">
        <v>2427</v>
      </c>
      <c r="C984">
        <v>894100</v>
      </c>
      <c r="D984" t="s">
        <v>2424</v>
      </c>
    </row>
    <row r="985" spans="1:4" ht="15" customHeight="1" x14ac:dyDescent="0.25">
      <c r="A985">
        <v>894200</v>
      </c>
      <c r="B985" t="s">
        <v>2428</v>
      </c>
      <c r="C985">
        <v>894200</v>
      </c>
      <c r="D985" t="s">
        <v>2424</v>
      </c>
    </row>
    <row r="986" spans="1:4" ht="15" customHeight="1" x14ac:dyDescent="0.25">
      <c r="A986">
        <v>894300</v>
      </c>
      <c r="B986" t="s">
        <v>2429</v>
      </c>
      <c r="C986">
        <v>894300</v>
      </c>
      <c r="D986" t="s">
        <v>2424</v>
      </c>
    </row>
    <row r="987" spans="1:4" ht="15" customHeight="1" x14ac:dyDescent="0.25">
      <c r="A987">
        <v>894400</v>
      </c>
      <c r="B987" t="s">
        <v>2430</v>
      </c>
      <c r="C987">
        <v>894400</v>
      </c>
      <c r="D987" t="s">
        <v>2424</v>
      </c>
    </row>
    <row r="988" spans="1:4" ht="15" customHeight="1" x14ac:dyDescent="0.25">
      <c r="A988">
        <v>894501</v>
      </c>
      <c r="B988" t="s">
        <v>2431</v>
      </c>
      <c r="C988">
        <v>894501</v>
      </c>
      <c r="D988" t="s">
        <v>2424</v>
      </c>
    </row>
    <row r="989" spans="1:4" ht="15" customHeight="1" x14ac:dyDescent="0.25">
      <c r="A989">
        <v>894502</v>
      </c>
      <c r="B989" t="s">
        <v>2432</v>
      </c>
      <c r="C989">
        <v>894502</v>
      </c>
      <c r="D989" t="s">
        <v>2424</v>
      </c>
    </row>
    <row r="990" spans="1:4" ht="15" customHeight="1" x14ac:dyDescent="0.25">
      <c r="A990">
        <v>894600</v>
      </c>
      <c r="B990" t="s">
        <v>2433</v>
      </c>
      <c r="C990">
        <v>894600</v>
      </c>
      <c r="D990" t="s">
        <v>2424</v>
      </c>
    </row>
    <row r="991" spans="1:4" ht="15" customHeight="1" x14ac:dyDescent="0.25">
      <c r="A991">
        <v>894700</v>
      </c>
      <c r="B991" t="s">
        <v>2434</v>
      </c>
      <c r="C991">
        <v>894700</v>
      </c>
      <c r="D991" t="s">
        <v>2424</v>
      </c>
    </row>
    <row r="992" spans="1:4" ht="15" customHeight="1" x14ac:dyDescent="0.25">
      <c r="A992">
        <v>894800</v>
      </c>
      <c r="B992" t="s">
        <v>2435</v>
      </c>
      <c r="C992">
        <v>894800</v>
      </c>
      <c r="D992" t="s">
        <v>2424</v>
      </c>
    </row>
    <row r="993" spans="1:4" ht="15" customHeight="1" x14ac:dyDescent="0.25">
      <c r="A993">
        <v>894900</v>
      </c>
      <c r="B993" t="s">
        <v>2436</v>
      </c>
      <c r="C993">
        <v>894900</v>
      </c>
      <c r="D993" t="s">
        <v>2424</v>
      </c>
    </row>
    <row r="994" spans="1:4" ht="15" customHeight="1" x14ac:dyDescent="0.25">
      <c r="A994">
        <v>895000</v>
      </c>
      <c r="B994" t="s">
        <v>2437</v>
      </c>
      <c r="C994">
        <v>895000</v>
      </c>
      <c r="D994" t="s">
        <v>2424</v>
      </c>
    </row>
    <row r="995" spans="1:4" ht="15" customHeight="1" x14ac:dyDescent="0.25">
      <c r="A995">
        <v>0</v>
      </c>
      <c r="B995" t="s">
        <v>2438</v>
      </c>
      <c r="C995">
        <v>0</v>
      </c>
      <c r="D995" t="s">
        <v>1354</v>
      </c>
    </row>
    <row r="996" spans="1:4" x14ac:dyDescent="0.25">
      <c r="A996">
        <v>0</v>
      </c>
      <c r="B996" t="s">
        <v>2439</v>
      </c>
      <c r="C996">
        <v>0</v>
      </c>
      <c r="D996" t="s">
        <v>2440</v>
      </c>
    </row>
    <row r="997" spans="1:4" x14ac:dyDescent="0.25">
      <c r="A997">
        <v>0</v>
      </c>
      <c r="B997" t="s">
        <v>2441</v>
      </c>
      <c r="C997">
        <v>0</v>
      </c>
      <c r="D997" t="s">
        <v>2440</v>
      </c>
    </row>
    <row r="998" spans="1:4" x14ac:dyDescent="0.25">
      <c r="A998">
        <v>0</v>
      </c>
      <c r="B998" t="s">
        <v>2442</v>
      </c>
      <c r="C998">
        <v>0</v>
      </c>
      <c r="D998" t="s">
        <v>2440</v>
      </c>
    </row>
    <row r="999" spans="1:4" x14ac:dyDescent="0.25">
      <c r="A999">
        <v>0</v>
      </c>
      <c r="B999" t="s">
        <v>2443</v>
      </c>
      <c r="C999">
        <v>0</v>
      </c>
      <c r="D999" t="s">
        <v>2440</v>
      </c>
    </row>
    <row r="1000" spans="1:4" x14ac:dyDescent="0.25">
      <c r="A1000">
        <v>0</v>
      </c>
      <c r="B1000" t="s">
        <v>2444</v>
      </c>
      <c r="C1000">
        <v>0</v>
      </c>
      <c r="D1000" t="s">
        <v>2440</v>
      </c>
    </row>
    <row r="1001" spans="1:4" x14ac:dyDescent="0.25">
      <c r="A1001">
        <v>0</v>
      </c>
      <c r="B1001" t="s">
        <v>2445</v>
      </c>
      <c r="C1001">
        <v>0</v>
      </c>
      <c r="D1001" t="s">
        <v>2440</v>
      </c>
    </row>
    <row r="1002" spans="1:4" x14ac:dyDescent="0.25">
      <c r="A1002">
        <v>0</v>
      </c>
      <c r="B1002" t="s">
        <v>2446</v>
      </c>
      <c r="C1002">
        <v>0</v>
      </c>
      <c r="D1002" t="s">
        <v>2440</v>
      </c>
    </row>
    <row r="1003" spans="1:4" x14ac:dyDescent="0.25">
      <c r="A1003">
        <v>0</v>
      </c>
      <c r="B1003" t="s">
        <v>2447</v>
      </c>
      <c r="C1003">
        <v>0</v>
      </c>
      <c r="D1003" t="s">
        <v>2440</v>
      </c>
    </row>
  </sheetData>
  <autoFilter ref="A1:D1003" xr:uid="{1F3EBD62-B717-4FB3-9D05-3B47F9EE18E4}"/>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B4400E-5DD8-4D14-A58E-8070F7E4538F}">
  <sheetPr codeName="Sheet29" filterMode="1"/>
  <dimension ref="A1:B339"/>
  <sheetViews>
    <sheetView zoomScale="115" zoomScaleNormal="115" workbookViewId="0">
      <selection activeCell="I15" sqref="I15"/>
    </sheetView>
  </sheetViews>
  <sheetFormatPr defaultRowHeight="15" x14ac:dyDescent="0.25"/>
  <cols>
    <col min="1" max="1" width="13.85546875" customWidth="1"/>
    <col min="2" max="2" width="24" bestFit="1" customWidth="1"/>
  </cols>
  <sheetData>
    <row r="1" spans="1:2" x14ac:dyDescent="0.25">
      <c r="A1" s="5" t="s">
        <v>3055</v>
      </c>
      <c r="B1" s="5" t="s">
        <v>3056</v>
      </c>
    </row>
    <row r="2" spans="1:2" hidden="1" x14ac:dyDescent="0.25">
      <c r="A2" t="s">
        <v>3057</v>
      </c>
      <c r="B2" t="s">
        <v>3058</v>
      </c>
    </row>
    <row r="3" spans="1:2" hidden="1" x14ac:dyDescent="0.25">
      <c r="A3" t="s">
        <v>3059</v>
      </c>
      <c r="B3" t="s">
        <v>3058</v>
      </c>
    </row>
    <row r="4" spans="1:2" hidden="1" x14ac:dyDescent="0.25">
      <c r="A4" t="s">
        <v>3060</v>
      </c>
      <c r="B4" t="s">
        <v>3058</v>
      </c>
    </row>
    <row r="5" spans="1:2" hidden="1" x14ac:dyDescent="0.25">
      <c r="A5" t="s">
        <v>3061</v>
      </c>
      <c r="B5" t="s">
        <v>3058</v>
      </c>
    </row>
    <row r="6" spans="1:2" hidden="1" x14ac:dyDescent="0.25">
      <c r="A6" t="s">
        <v>3062</v>
      </c>
      <c r="B6" t="s">
        <v>3058</v>
      </c>
    </row>
    <row r="7" spans="1:2" hidden="1" x14ac:dyDescent="0.25">
      <c r="A7" t="s">
        <v>3063</v>
      </c>
      <c r="B7" t="s">
        <v>3058</v>
      </c>
    </row>
    <row r="8" spans="1:2" hidden="1" x14ac:dyDescent="0.25">
      <c r="A8" t="s">
        <v>3064</v>
      </c>
      <c r="B8" t="s">
        <v>3058</v>
      </c>
    </row>
    <row r="9" spans="1:2" hidden="1" x14ac:dyDescent="0.25">
      <c r="A9" t="s">
        <v>3065</v>
      </c>
      <c r="B9" t="s">
        <v>3058</v>
      </c>
    </row>
    <row r="10" spans="1:2" hidden="1" x14ac:dyDescent="0.25">
      <c r="A10" t="s">
        <v>3066</v>
      </c>
      <c r="B10" t="s">
        <v>3058</v>
      </c>
    </row>
    <row r="11" spans="1:2" hidden="1" x14ac:dyDescent="0.25">
      <c r="A11" t="s">
        <v>3067</v>
      </c>
      <c r="B11" t="s">
        <v>3058</v>
      </c>
    </row>
    <row r="12" spans="1:2" hidden="1" x14ac:dyDescent="0.25">
      <c r="A12" t="s">
        <v>3068</v>
      </c>
      <c r="B12" t="s">
        <v>3058</v>
      </c>
    </row>
    <row r="13" spans="1:2" hidden="1" x14ac:dyDescent="0.25">
      <c r="A13" t="s">
        <v>3069</v>
      </c>
      <c r="B13" t="s">
        <v>3058</v>
      </c>
    </row>
    <row r="14" spans="1:2" hidden="1" x14ac:dyDescent="0.25">
      <c r="A14" t="s">
        <v>3070</v>
      </c>
      <c r="B14" t="s">
        <v>3058</v>
      </c>
    </row>
    <row r="15" spans="1:2" hidden="1" x14ac:dyDescent="0.25">
      <c r="A15" t="s">
        <v>3071</v>
      </c>
      <c r="B15" t="s">
        <v>3058</v>
      </c>
    </row>
    <row r="16" spans="1:2" hidden="1" x14ac:dyDescent="0.25">
      <c r="A16" t="s">
        <v>3072</v>
      </c>
      <c r="B16" t="s">
        <v>3058</v>
      </c>
    </row>
    <row r="17" spans="1:2" hidden="1" x14ac:dyDescent="0.25">
      <c r="A17" t="s">
        <v>3073</v>
      </c>
      <c r="B17" t="s">
        <v>3058</v>
      </c>
    </row>
    <row r="18" spans="1:2" hidden="1" x14ac:dyDescent="0.25">
      <c r="A18" t="s">
        <v>3074</v>
      </c>
      <c r="B18" t="s">
        <v>3058</v>
      </c>
    </row>
    <row r="19" spans="1:2" hidden="1" x14ac:dyDescent="0.25">
      <c r="A19" t="s">
        <v>3075</v>
      </c>
      <c r="B19" t="s">
        <v>3058</v>
      </c>
    </row>
    <row r="20" spans="1:2" hidden="1" x14ac:dyDescent="0.25">
      <c r="A20" t="s">
        <v>3076</v>
      </c>
      <c r="B20" t="s">
        <v>3058</v>
      </c>
    </row>
    <row r="21" spans="1:2" hidden="1" x14ac:dyDescent="0.25">
      <c r="A21" t="s">
        <v>3077</v>
      </c>
      <c r="B21" t="s">
        <v>3058</v>
      </c>
    </row>
    <row r="22" spans="1:2" hidden="1" x14ac:dyDescent="0.25">
      <c r="A22" t="s">
        <v>3078</v>
      </c>
      <c r="B22" t="s">
        <v>3058</v>
      </c>
    </row>
    <row r="23" spans="1:2" hidden="1" x14ac:dyDescent="0.25">
      <c r="A23" t="s">
        <v>3079</v>
      </c>
      <c r="B23" t="s">
        <v>3058</v>
      </c>
    </row>
    <row r="24" spans="1:2" hidden="1" x14ac:dyDescent="0.25">
      <c r="A24" t="s">
        <v>3080</v>
      </c>
      <c r="B24" t="s">
        <v>3058</v>
      </c>
    </row>
    <row r="25" spans="1:2" hidden="1" x14ac:dyDescent="0.25">
      <c r="A25" t="s">
        <v>3081</v>
      </c>
      <c r="B25" t="s">
        <v>3058</v>
      </c>
    </row>
    <row r="26" spans="1:2" hidden="1" x14ac:dyDescent="0.25">
      <c r="A26" t="s">
        <v>3082</v>
      </c>
      <c r="B26" t="s">
        <v>3058</v>
      </c>
    </row>
    <row r="27" spans="1:2" hidden="1" x14ac:dyDescent="0.25">
      <c r="A27" t="s">
        <v>3083</v>
      </c>
      <c r="B27" t="s">
        <v>3058</v>
      </c>
    </row>
    <row r="28" spans="1:2" hidden="1" x14ac:dyDescent="0.25">
      <c r="A28" t="s">
        <v>3084</v>
      </c>
      <c r="B28" t="s">
        <v>3058</v>
      </c>
    </row>
    <row r="29" spans="1:2" hidden="1" x14ac:dyDescent="0.25">
      <c r="A29" t="s">
        <v>3085</v>
      </c>
      <c r="B29" t="s">
        <v>3058</v>
      </c>
    </row>
    <row r="30" spans="1:2" hidden="1" x14ac:dyDescent="0.25">
      <c r="A30" t="s">
        <v>3086</v>
      </c>
      <c r="B30" t="s">
        <v>3058</v>
      </c>
    </row>
    <row r="31" spans="1:2" hidden="1" x14ac:dyDescent="0.25">
      <c r="A31" t="s">
        <v>3087</v>
      </c>
      <c r="B31" t="s">
        <v>3058</v>
      </c>
    </row>
    <row r="32" spans="1:2" hidden="1" x14ac:dyDescent="0.25">
      <c r="A32" t="s">
        <v>3088</v>
      </c>
      <c r="B32" t="s">
        <v>3058</v>
      </c>
    </row>
    <row r="33" spans="1:2" hidden="1" x14ac:dyDescent="0.25">
      <c r="A33" t="s">
        <v>3089</v>
      </c>
      <c r="B33" t="s">
        <v>3058</v>
      </c>
    </row>
    <row r="34" spans="1:2" hidden="1" x14ac:dyDescent="0.25">
      <c r="A34" t="s">
        <v>3090</v>
      </c>
      <c r="B34" t="s">
        <v>3058</v>
      </c>
    </row>
    <row r="35" spans="1:2" hidden="1" x14ac:dyDescent="0.25">
      <c r="A35" t="s">
        <v>3091</v>
      </c>
      <c r="B35" t="s">
        <v>3058</v>
      </c>
    </row>
    <row r="36" spans="1:2" hidden="1" x14ac:dyDescent="0.25">
      <c r="A36" t="s">
        <v>3092</v>
      </c>
      <c r="B36" t="s">
        <v>3058</v>
      </c>
    </row>
    <row r="37" spans="1:2" hidden="1" x14ac:dyDescent="0.25">
      <c r="A37" t="s">
        <v>3093</v>
      </c>
      <c r="B37" t="s">
        <v>3058</v>
      </c>
    </row>
    <row r="38" spans="1:2" hidden="1" x14ac:dyDescent="0.25">
      <c r="A38" t="s">
        <v>3094</v>
      </c>
      <c r="B38" t="s">
        <v>3058</v>
      </c>
    </row>
    <row r="39" spans="1:2" hidden="1" x14ac:dyDescent="0.25">
      <c r="A39" t="s">
        <v>3095</v>
      </c>
      <c r="B39" t="s">
        <v>3058</v>
      </c>
    </row>
    <row r="40" spans="1:2" hidden="1" x14ac:dyDescent="0.25">
      <c r="A40" t="s">
        <v>3096</v>
      </c>
      <c r="B40" t="s">
        <v>3058</v>
      </c>
    </row>
    <row r="41" spans="1:2" hidden="1" x14ac:dyDescent="0.25">
      <c r="A41" t="s">
        <v>3097</v>
      </c>
      <c r="B41" t="s">
        <v>3058</v>
      </c>
    </row>
    <row r="42" spans="1:2" hidden="1" x14ac:dyDescent="0.25">
      <c r="A42" t="s">
        <v>3098</v>
      </c>
      <c r="B42" t="s">
        <v>3058</v>
      </c>
    </row>
    <row r="43" spans="1:2" hidden="1" x14ac:dyDescent="0.25">
      <c r="A43" t="s">
        <v>3099</v>
      </c>
      <c r="B43" t="s">
        <v>3058</v>
      </c>
    </row>
    <row r="44" spans="1:2" hidden="1" x14ac:dyDescent="0.25">
      <c r="A44" t="s">
        <v>3100</v>
      </c>
      <c r="B44" t="s">
        <v>3058</v>
      </c>
    </row>
    <row r="45" spans="1:2" hidden="1" x14ac:dyDescent="0.25">
      <c r="A45" t="s">
        <v>3101</v>
      </c>
      <c r="B45" t="s">
        <v>3058</v>
      </c>
    </row>
    <row r="46" spans="1:2" hidden="1" x14ac:dyDescent="0.25">
      <c r="A46" t="s">
        <v>3102</v>
      </c>
      <c r="B46" t="s">
        <v>3058</v>
      </c>
    </row>
    <row r="47" spans="1:2" hidden="1" x14ac:dyDescent="0.25">
      <c r="A47" t="s">
        <v>3103</v>
      </c>
      <c r="B47" t="s">
        <v>3058</v>
      </c>
    </row>
    <row r="48" spans="1:2" hidden="1" x14ac:dyDescent="0.25">
      <c r="A48" t="s">
        <v>3104</v>
      </c>
      <c r="B48" t="s">
        <v>3058</v>
      </c>
    </row>
    <row r="49" spans="1:2" hidden="1" x14ac:dyDescent="0.25">
      <c r="A49" t="s">
        <v>3105</v>
      </c>
      <c r="B49" t="s">
        <v>3058</v>
      </c>
    </row>
    <row r="50" spans="1:2" hidden="1" x14ac:dyDescent="0.25">
      <c r="A50" t="s">
        <v>3106</v>
      </c>
      <c r="B50" t="s">
        <v>3058</v>
      </c>
    </row>
    <row r="51" spans="1:2" hidden="1" x14ac:dyDescent="0.25">
      <c r="A51" t="s">
        <v>3107</v>
      </c>
      <c r="B51" t="s">
        <v>3058</v>
      </c>
    </row>
    <row r="52" spans="1:2" hidden="1" x14ac:dyDescent="0.25">
      <c r="A52" t="s">
        <v>3108</v>
      </c>
      <c r="B52" t="s">
        <v>3058</v>
      </c>
    </row>
    <row r="53" spans="1:2" hidden="1" x14ac:dyDescent="0.25">
      <c r="A53" t="s">
        <v>3109</v>
      </c>
      <c r="B53" t="s">
        <v>3058</v>
      </c>
    </row>
    <row r="54" spans="1:2" hidden="1" x14ac:dyDescent="0.25">
      <c r="A54" t="s">
        <v>3110</v>
      </c>
      <c r="B54" t="s">
        <v>3058</v>
      </c>
    </row>
    <row r="55" spans="1:2" hidden="1" x14ac:dyDescent="0.25">
      <c r="A55" t="s">
        <v>3111</v>
      </c>
      <c r="B55" t="s">
        <v>3058</v>
      </c>
    </row>
    <row r="56" spans="1:2" hidden="1" x14ac:dyDescent="0.25">
      <c r="A56" t="s">
        <v>3112</v>
      </c>
      <c r="B56" t="s">
        <v>3058</v>
      </c>
    </row>
    <row r="57" spans="1:2" hidden="1" x14ac:dyDescent="0.25">
      <c r="A57" t="s">
        <v>3113</v>
      </c>
      <c r="B57" t="s">
        <v>3058</v>
      </c>
    </row>
    <row r="58" spans="1:2" hidden="1" x14ac:dyDescent="0.25">
      <c r="A58" t="s">
        <v>3114</v>
      </c>
      <c r="B58" t="s">
        <v>3058</v>
      </c>
    </row>
    <row r="59" spans="1:2" hidden="1" x14ac:dyDescent="0.25">
      <c r="A59" t="s">
        <v>3115</v>
      </c>
      <c r="B59" t="s">
        <v>3058</v>
      </c>
    </row>
    <row r="60" spans="1:2" hidden="1" x14ac:dyDescent="0.25">
      <c r="A60" t="s">
        <v>3116</v>
      </c>
      <c r="B60" t="s">
        <v>3058</v>
      </c>
    </row>
    <row r="61" spans="1:2" hidden="1" x14ac:dyDescent="0.25">
      <c r="A61" t="s">
        <v>3117</v>
      </c>
      <c r="B61" t="s">
        <v>3058</v>
      </c>
    </row>
    <row r="62" spans="1:2" hidden="1" x14ac:dyDescent="0.25">
      <c r="A62" t="s">
        <v>3118</v>
      </c>
      <c r="B62" t="s">
        <v>3058</v>
      </c>
    </row>
    <row r="63" spans="1:2" hidden="1" x14ac:dyDescent="0.25">
      <c r="A63" t="s">
        <v>3119</v>
      </c>
      <c r="B63" t="s">
        <v>3058</v>
      </c>
    </row>
    <row r="64" spans="1:2" hidden="1" x14ac:dyDescent="0.25">
      <c r="A64" t="s">
        <v>3120</v>
      </c>
      <c r="B64" t="s">
        <v>3058</v>
      </c>
    </row>
    <row r="65" spans="1:2" hidden="1" x14ac:dyDescent="0.25">
      <c r="A65" t="s">
        <v>3121</v>
      </c>
      <c r="B65" t="s">
        <v>3058</v>
      </c>
    </row>
    <row r="66" spans="1:2" hidden="1" x14ac:dyDescent="0.25">
      <c r="A66" t="s">
        <v>3122</v>
      </c>
      <c r="B66" t="s">
        <v>3058</v>
      </c>
    </row>
    <row r="67" spans="1:2" hidden="1" x14ac:dyDescent="0.25">
      <c r="A67" t="s">
        <v>3123</v>
      </c>
      <c r="B67" t="s">
        <v>3058</v>
      </c>
    </row>
    <row r="68" spans="1:2" hidden="1" x14ac:dyDescent="0.25">
      <c r="A68" t="s">
        <v>3124</v>
      </c>
      <c r="B68" t="s">
        <v>3058</v>
      </c>
    </row>
    <row r="69" spans="1:2" hidden="1" x14ac:dyDescent="0.25">
      <c r="A69" t="s">
        <v>3125</v>
      </c>
      <c r="B69" t="s">
        <v>3058</v>
      </c>
    </row>
    <row r="70" spans="1:2" hidden="1" x14ac:dyDescent="0.25">
      <c r="A70" t="s">
        <v>3126</v>
      </c>
      <c r="B70" t="s">
        <v>3058</v>
      </c>
    </row>
    <row r="71" spans="1:2" hidden="1" x14ac:dyDescent="0.25">
      <c r="A71" t="s">
        <v>3127</v>
      </c>
      <c r="B71" t="s">
        <v>3058</v>
      </c>
    </row>
    <row r="72" spans="1:2" hidden="1" x14ac:dyDescent="0.25">
      <c r="A72" t="s">
        <v>3128</v>
      </c>
      <c r="B72" t="s">
        <v>3058</v>
      </c>
    </row>
    <row r="73" spans="1:2" hidden="1" x14ac:dyDescent="0.25">
      <c r="A73" t="s">
        <v>3129</v>
      </c>
      <c r="B73" t="s">
        <v>3058</v>
      </c>
    </row>
    <row r="74" spans="1:2" hidden="1" x14ac:dyDescent="0.25">
      <c r="A74" t="s">
        <v>3130</v>
      </c>
      <c r="B74" t="s">
        <v>3058</v>
      </c>
    </row>
    <row r="75" spans="1:2" hidden="1" x14ac:dyDescent="0.25">
      <c r="A75" t="s">
        <v>3131</v>
      </c>
      <c r="B75" t="s">
        <v>3058</v>
      </c>
    </row>
    <row r="76" spans="1:2" hidden="1" x14ac:dyDescent="0.25">
      <c r="A76" t="s">
        <v>3132</v>
      </c>
      <c r="B76" t="s">
        <v>3058</v>
      </c>
    </row>
    <row r="77" spans="1:2" hidden="1" x14ac:dyDescent="0.25">
      <c r="A77" t="s">
        <v>3133</v>
      </c>
      <c r="B77" t="s">
        <v>3058</v>
      </c>
    </row>
    <row r="78" spans="1:2" hidden="1" x14ac:dyDescent="0.25">
      <c r="A78" t="s">
        <v>3134</v>
      </c>
      <c r="B78" t="s">
        <v>3058</v>
      </c>
    </row>
    <row r="79" spans="1:2" hidden="1" x14ac:dyDescent="0.25">
      <c r="A79" t="s">
        <v>3135</v>
      </c>
      <c r="B79" t="s">
        <v>3058</v>
      </c>
    </row>
    <row r="80" spans="1:2" hidden="1" x14ac:dyDescent="0.25">
      <c r="A80" t="s">
        <v>3136</v>
      </c>
      <c r="B80" t="s">
        <v>3058</v>
      </c>
    </row>
    <row r="81" spans="1:2" hidden="1" x14ac:dyDescent="0.25">
      <c r="A81" t="s">
        <v>3137</v>
      </c>
      <c r="B81" t="s">
        <v>3058</v>
      </c>
    </row>
    <row r="82" spans="1:2" hidden="1" x14ac:dyDescent="0.25">
      <c r="A82" t="s">
        <v>3138</v>
      </c>
      <c r="B82" t="s">
        <v>3058</v>
      </c>
    </row>
    <row r="83" spans="1:2" hidden="1" x14ac:dyDescent="0.25">
      <c r="A83" t="s">
        <v>3139</v>
      </c>
      <c r="B83" t="s">
        <v>3058</v>
      </c>
    </row>
    <row r="84" spans="1:2" hidden="1" x14ac:dyDescent="0.25">
      <c r="A84" t="s">
        <v>3140</v>
      </c>
      <c r="B84" t="s">
        <v>3058</v>
      </c>
    </row>
    <row r="85" spans="1:2" hidden="1" x14ac:dyDescent="0.25">
      <c r="A85" t="s">
        <v>3141</v>
      </c>
      <c r="B85" t="s">
        <v>3058</v>
      </c>
    </row>
    <row r="86" spans="1:2" hidden="1" x14ac:dyDescent="0.25">
      <c r="A86" t="s">
        <v>3142</v>
      </c>
      <c r="B86" t="s">
        <v>3058</v>
      </c>
    </row>
    <row r="87" spans="1:2" hidden="1" x14ac:dyDescent="0.25">
      <c r="A87" t="s">
        <v>3143</v>
      </c>
      <c r="B87" t="s">
        <v>3058</v>
      </c>
    </row>
    <row r="88" spans="1:2" hidden="1" x14ac:dyDescent="0.25">
      <c r="A88" t="s">
        <v>3144</v>
      </c>
      <c r="B88" t="s">
        <v>3058</v>
      </c>
    </row>
    <row r="89" spans="1:2" hidden="1" x14ac:dyDescent="0.25">
      <c r="A89" t="s">
        <v>3145</v>
      </c>
      <c r="B89" t="s">
        <v>3058</v>
      </c>
    </row>
    <row r="90" spans="1:2" hidden="1" x14ac:dyDescent="0.25">
      <c r="A90" t="s">
        <v>3146</v>
      </c>
      <c r="B90" t="s">
        <v>3058</v>
      </c>
    </row>
    <row r="91" spans="1:2" hidden="1" x14ac:dyDescent="0.25">
      <c r="A91" t="s">
        <v>3147</v>
      </c>
      <c r="B91" t="s">
        <v>3058</v>
      </c>
    </row>
    <row r="92" spans="1:2" hidden="1" x14ac:dyDescent="0.25">
      <c r="A92" t="s">
        <v>3148</v>
      </c>
      <c r="B92" t="s">
        <v>3058</v>
      </c>
    </row>
    <row r="93" spans="1:2" hidden="1" x14ac:dyDescent="0.25">
      <c r="A93" t="s">
        <v>3149</v>
      </c>
      <c r="B93" t="s">
        <v>3058</v>
      </c>
    </row>
    <row r="94" spans="1:2" hidden="1" x14ac:dyDescent="0.25">
      <c r="A94" t="s">
        <v>3150</v>
      </c>
      <c r="B94" t="s">
        <v>3058</v>
      </c>
    </row>
    <row r="95" spans="1:2" hidden="1" x14ac:dyDescent="0.25">
      <c r="A95" t="s">
        <v>3151</v>
      </c>
      <c r="B95" t="s">
        <v>3058</v>
      </c>
    </row>
    <row r="96" spans="1:2" hidden="1" x14ac:dyDescent="0.25">
      <c r="A96" t="s">
        <v>3152</v>
      </c>
      <c r="B96" t="s">
        <v>3058</v>
      </c>
    </row>
    <row r="97" spans="1:2" hidden="1" x14ac:dyDescent="0.25">
      <c r="A97" t="s">
        <v>3153</v>
      </c>
      <c r="B97" t="s">
        <v>3058</v>
      </c>
    </row>
    <row r="98" spans="1:2" hidden="1" x14ac:dyDescent="0.25">
      <c r="A98" t="s">
        <v>3154</v>
      </c>
      <c r="B98" t="s">
        <v>3155</v>
      </c>
    </row>
    <row r="99" spans="1:2" hidden="1" x14ac:dyDescent="0.25">
      <c r="A99" t="s">
        <v>3156</v>
      </c>
      <c r="B99" t="s">
        <v>3155</v>
      </c>
    </row>
    <row r="100" spans="1:2" hidden="1" x14ac:dyDescent="0.25">
      <c r="A100" t="s">
        <v>3157</v>
      </c>
      <c r="B100" t="s">
        <v>3155</v>
      </c>
    </row>
    <row r="101" spans="1:2" hidden="1" x14ac:dyDescent="0.25">
      <c r="A101" t="s">
        <v>3158</v>
      </c>
      <c r="B101" t="s">
        <v>3155</v>
      </c>
    </row>
    <row r="102" spans="1:2" hidden="1" x14ac:dyDescent="0.25">
      <c r="A102" t="s">
        <v>3159</v>
      </c>
      <c r="B102" t="s">
        <v>3155</v>
      </c>
    </row>
    <row r="103" spans="1:2" hidden="1" x14ac:dyDescent="0.25">
      <c r="A103" t="s">
        <v>3160</v>
      </c>
      <c r="B103" t="s">
        <v>3155</v>
      </c>
    </row>
    <row r="104" spans="1:2" hidden="1" x14ac:dyDescent="0.25">
      <c r="A104" t="s">
        <v>3161</v>
      </c>
      <c r="B104" t="s">
        <v>3155</v>
      </c>
    </row>
    <row r="105" spans="1:2" hidden="1" x14ac:dyDescent="0.25">
      <c r="A105" t="s">
        <v>3162</v>
      </c>
      <c r="B105" t="s">
        <v>3155</v>
      </c>
    </row>
    <row r="106" spans="1:2" hidden="1" x14ac:dyDescent="0.25">
      <c r="A106" t="s">
        <v>3163</v>
      </c>
      <c r="B106" t="s">
        <v>3155</v>
      </c>
    </row>
    <row r="107" spans="1:2" hidden="1" x14ac:dyDescent="0.25">
      <c r="A107" t="s">
        <v>3164</v>
      </c>
      <c r="B107" t="s">
        <v>3155</v>
      </c>
    </row>
    <row r="108" spans="1:2" hidden="1" x14ac:dyDescent="0.25">
      <c r="A108" t="s">
        <v>3165</v>
      </c>
      <c r="B108" t="s">
        <v>3155</v>
      </c>
    </row>
    <row r="109" spans="1:2" hidden="1" x14ac:dyDescent="0.25">
      <c r="A109" t="s">
        <v>3166</v>
      </c>
      <c r="B109" t="s">
        <v>3155</v>
      </c>
    </row>
    <row r="110" spans="1:2" hidden="1" x14ac:dyDescent="0.25">
      <c r="A110" t="s">
        <v>3167</v>
      </c>
      <c r="B110" t="s">
        <v>3155</v>
      </c>
    </row>
    <row r="111" spans="1:2" hidden="1" x14ac:dyDescent="0.25">
      <c r="A111" t="s">
        <v>3168</v>
      </c>
      <c r="B111" t="s">
        <v>3155</v>
      </c>
    </row>
    <row r="112" spans="1:2" hidden="1" x14ac:dyDescent="0.25">
      <c r="A112" t="s">
        <v>3169</v>
      </c>
      <c r="B112" t="s">
        <v>3155</v>
      </c>
    </row>
    <row r="113" spans="1:2" hidden="1" x14ac:dyDescent="0.25">
      <c r="A113" t="s">
        <v>3170</v>
      </c>
      <c r="B113" t="s">
        <v>3155</v>
      </c>
    </row>
    <row r="114" spans="1:2" hidden="1" x14ac:dyDescent="0.25">
      <c r="A114" t="s">
        <v>3171</v>
      </c>
      <c r="B114" t="s">
        <v>3155</v>
      </c>
    </row>
    <row r="115" spans="1:2" hidden="1" x14ac:dyDescent="0.25">
      <c r="A115" t="s">
        <v>3172</v>
      </c>
      <c r="B115" t="s">
        <v>3155</v>
      </c>
    </row>
    <row r="116" spans="1:2" hidden="1" x14ac:dyDescent="0.25">
      <c r="A116" t="s">
        <v>3173</v>
      </c>
      <c r="B116" t="s">
        <v>3155</v>
      </c>
    </row>
    <row r="117" spans="1:2" hidden="1" x14ac:dyDescent="0.25">
      <c r="A117" t="s">
        <v>3174</v>
      </c>
      <c r="B117" t="s">
        <v>3155</v>
      </c>
    </row>
    <row r="118" spans="1:2" hidden="1" x14ac:dyDescent="0.25">
      <c r="A118" t="s">
        <v>3175</v>
      </c>
      <c r="B118" t="s">
        <v>3155</v>
      </c>
    </row>
    <row r="119" spans="1:2" hidden="1" x14ac:dyDescent="0.25">
      <c r="A119" t="s">
        <v>3176</v>
      </c>
      <c r="B119" t="s">
        <v>3155</v>
      </c>
    </row>
    <row r="120" spans="1:2" hidden="1" x14ac:dyDescent="0.25">
      <c r="A120" t="s">
        <v>3177</v>
      </c>
      <c r="B120" t="s">
        <v>3155</v>
      </c>
    </row>
    <row r="121" spans="1:2" hidden="1" x14ac:dyDescent="0.25">
      <c r="A121" t="s">
        <v>3178</v>
      </c>
      <c r="B121" t="s">
        <v>3155</v>
      </c>
    </row>
    <row r="122" spans="1:2" hidden="1" x14ac:dyDescent="0.25">
      <c r="A122" t="s">
        <v>3179</v>
      </c>
      <c r="B122" t="s">
        <v>3155</v>
      </c>
    </row>
    <row r="123" spans="1:2" hidden="1" x14ac:dyDescent="0.25">
      <c r="A123" t="s">
        <v>3180</v>
      </c>
      <c r="B123" t="s">
        <v>3155</v>
      </c>
    </row>
    <row r="124" spans="1:2" hidden="1" x14ac:dyDescent="0.25">
      <c r="A124" t="s">
        <v>3181</v>
      </c>
      <c r="B124" t="s">
        <v>3155</v>
      </c>
    </row>
    <row r="125" spans="1:2" hidden="1" x14ac:dyDescent="0.25">
      <c r="A125" t="s">
        <v>3182</v>
      </c>
      <c r="B125" t="s">
        <v>3155</v>
      </c>
    </row>
    <row r="126" spans="1:2" hidden="1" x14ac:dyDescent="0.25">
      <c r="A126" t="s">
        <v>3183</v>
      </c>
      <c r="B126" t="s">
        <v>3155</v>
      </c>
    </row>
    <row r="127" spans="1:2" hidden="1" x14ac:dyDescent="0.25">
      <c r="A127" t="s">
        <v>3184</v>
      </c>
      <c r="B127" t="s">
        <v>3155</v>
      </c>
    </row>
    <row r="128" spans="1:2" hidden="1" x14ac:dyDescent="0.25">
      <c r="A128" t="s">
        <v>3185</v>
      </c>
      <c r="B128" t="s">
        <v>3155</v>
      </c>
    </row>
    <row r="129" spans="1:2" hidden="1" x14ac:dyDescent="0.25">
      <c r="A129" t="s">
        <v>3186</v>
      </c>
      <c r="B129" t="s">
        <v>3155</v>
      </c>
    </row>
    <row r="130" spans="1:2" hidden="1" x14ac:dyDescent="0.25">
      <c r="A130" t="s">
        <v>3187</v>
      </c>
      <c r="B130" t="s">
        <v>3155</v>
      </c>
    </row>
    <row r="131" spans="1:2" hidden="1" x14ac:dyDescent="0.25">
      <c r="A131" t="s">
        <v>3188</v>
      </c>
      <c r="B131" t="s">
        <v>3155</v>
      </c>
    </row>
    <row r="132" spans="1:2" hidden="1" x14ac:dyDescent="0.25">
      <c r="A132" t="s">
        <v>3189</v>
      </c>
      <c r="B132" t="s">
        <v>3155</v>
      </c>
    </row>
    <row r="133" spans="1:2" x14ac:dyDescent="0.25">
      <c r="A133" t="s">
        <v>3190</v>
      </c>
      <c r="B133" t="s">
        <v>3191</v>
      </c>
    </row>
    <row r="134" spans="1:2" x14ac:dyDescent="0.25">
      <c r="A134" t="s">
        <v>3192</v>
      </c>
      <c r="B134" t="s">
        <v>3191</v>
      </c>
    </row>
    <row r="135" spans="1:2" x14ac:dyDescent="0.25">
      <c r="A135" t="s">
        <v>3193</v>
      </c>
      <c r="B135" t="s">
        <v>3191</v>
      </c>
    </row>
    <row r="136" spans="1:2" x14ac:dyDescent="0.25">
      <c r="A136" t="s">
        <v>3194</v>
      </c>
      <c r="B136" t="s">
        <v>3191</v>
      </c>
    </row>
    <row r="137" spans="1:2" x14ac:dyDescent="0.25">
      <c r="A137" t="s">
        <v>3195</v>
      </c>
      <c r="B137" t="s">
        <v>3191</v>
      </c>
    </row>
    <row r="138" spans="1:2" x14ac:dyDescent="0.25">
      <c r="A138" t="s">
        <v>3196</v>
      </c>
      <c r="B138" t="s">
        <v>3191</v>
      </c>
    </row>
    <row r="139" spans="1:2" x14ac:dyDescent="0.25">
      <c r="A139" t="s">
        <v>3197</v>
      </c>
      <c r="B139" t="s">
        <v>3191</v>
      </c>
    </row>
    <row r="140" spans="1:2" x14ac:dyDescent="0.25">
      <c r="A140" t="s">
        <v>3198</v>
      </c>
      <c r="B140" t="s">
        <v>3191</v>
      </c>
    </row>
    <row r="141" spans="1:2" hidden="1" x14ac:dyDescent="0.25">
      <c r="A141" t="s">
        <v>3199</v>
      </c>
      <c r="B141" t="s">
        <v>3200</v>
      </c>
    </row>
    <row r="142" spans="1:2" hidden="1" x14ac:dyDescent="0.25">
      <c r="A142" t="s">
        <v>3201</v>
      </c>
      <c r="B142" t="s">
        <v>3200</v>
      </c>
    </row>
    <row r="143" spans="1:2" hidden="1" x14ac:dyDescent="0.25">
      <c r="A143" t="s">
        <v>3202</v>
      </c>
      <c r="B143" t="s">
        <v>3200</v>
      </c>
    </row>
    <row r="144" spans="1:2" hidden="1" x14ac:dyDescent="0.25">
      <c r="A144" t="s">
        <v>3203</v>
      </c>
      <c r="B144" t="s">
        <v>3200</v>
      </c>
    </row>
    <row r="145" spans="1:2" hidden="1" x14ac:dyDescent="0.25">
      <c r="A145" t="s">
        <v>3204</v>
      </c>
      <c r="B145" t="s">
        <v>3200</v>
      </c>
    </row>
    <row r="146" spans="1:2" hidden="1" x14ac:dyDescent="0.25">
      <c r="A146" t="s">
        <v>3205</v>
      </c>
      <c r="B146" t="s">
        <v>3200</v>
      </c>
    </row>
    <row r="147" spans="1:2" hidden="1" x14ac:dyDescent="0.25">
      <c r="A147" t="s">
        <v>3206</v>
      </c>
      <c r="B147" t="s">
        <v>3200</v>
      </c>
    </row>
    <row r="148" spans="1:2" hidden="1" x14ac:dyDescent="0.25">
      <c r="A148" t="s">
        <v>3207</v>
      </c>
      <c r="B148" t="s">
        <v>3200</v>
      </c>
    </row>
    <row r="149" spans="1:2" hidden="1" x14ac:dyDescent="0.25">
      <c r="A149" t="s">
        <v>3208</v>
      </c>
      <c r="B149" t="s">
        <v>3200</v>
      </c>
    </row>
    <row r="150" spans="1:2" hidden="1" x14ac:dyDescent="0.25">
      <c r="A150" t="s">
        <v>3209</v>
      </c>
      <c r="B150" t="s">
        <v>3200</v>
      </c>
    </row>
    <row r="151" spans="1:2" hidden="1" x14ac:dyDescent="0.25">
      <c r="A151" t="s">
        <v>3210</v>
      </c>
      <c r="B151" t="s">
        <v>3200</v>
      </c>
    </row>
    <row r="152" spans="1:2" hidden="1" x14ac:dyDescent="0.25">
      <c r="A152" t="s">
        <v>3211</v>
      </c>
      <c r="B152" t="s">
        <v>3200</v>
      </c>
    </row>
    <row r="153" spans="1:2" hidden="1" x14ac:dyDescent="0.25">
      <c r="A153" t="s">
        <v>3212</v>
      </c>
      <c r="B153" t="s">
        <v>3200</v>
      </c>
    </row>
    <row r="154" spans="1:2" hidden="1" x14ac:dyDescent="0.25">
      <c r="A154" t="s">
        <v>3213</v>
      </c>
      <c r="B154" t="s">
        <v>3200</v>
      </c>
    </row>
    <row r="155" spans="1:2" hidden="1" x14ac:dyDescent="0.25">
      <c r="A155" t="s">
        <v>3214</v>
      </c>
      <c r="B155" t="s">
        <v>3200</v>
      </c>
    </row>
    <row r="156" spans="1:2" hidden="1" x14ac:dyDescent="0.25">
      <c r="A156" t="s">
        <v>3215</v>
      </c>
      <c r="B156" t="s">
        <v>3200</v>
      </c>
    </row>
    <row r="157" spans="1:2" hidden="1" x14ac:dyDescent="0.25">
      <c r="A157" t="s">
        <v>3216</v>
      </c>
      <c r="B157" t="s">
        <v>3200</v>
      </c>
    </row>
    <row r="158" spans="1:2" hidden="1" x14ac:dyDescent="0.25">
      <c r="A158" t="s">
        <v>3217</v>
      </c>
      <c r="B158" t="s">
        <v>3200</v>
      </c>
    </row>
    <row r="159" spans="1:2" hidden="1" x14ac:dyDescent="0.25">
      <c r="A159" t="s">
        <v>3218</v>
      </c>
      <c r="B159" t="s">
        <v>3200</v>
      </c>
    </row>
    <row r="160" spans="1:2" hidden="1" x14ac:dyDescent="0.25">
      <c r="A160" t="s">
        <v>3219</v>
      </c>
      <c r="B160" t="s">
        <v>3200</v>
      </c>
    </row>
    <row r="161" spans="1:2" hidden="1" x14ac:dyDescent="0.25">
      <c r="A161" t="s">
        <v>3220</v>
      </c>
      <c r="B161" t="s">
        <v>3221</v>
      </c>
    </row>
    <row r="162" spans="1:2" hidden="1" x14ac:dyDescent="0.25">
      <c r="A162" t="s">
        <v>3222</v>
      </c>
      <c r="B162" t="s">
        <v>3221</v>
      </c>
    </row>
    <row r="163" spans="1:2" hidden="1" x14ac:dyDescent="0.25">
      <c r="A163" t="s">
        <v>3223</v>
      </c>
      <c r="B163" t="s">
        <v>3221</v>
      </c>
    </row>
    <row r="164" spans="1:2" hidden="1" x14ac:dyDescent="0.25">
      <c r="A164" t="s">
        <v>3224</v>
      </c>
      <c r="B164" t="s">
        <v>3221</v>
      </c>
    </row>
    <row r="165" spans="1:2" hidden="1" x14ac:dyDescent="0.25">
      <c r="A165" t="s">
        <v>3225</v>
      </c>
      <c r="B165" t="s">
        <v>3221</v>
      </c>
    </row>
    <row r="166" spans="1:2" hidden="1" x14ac:dyDescent="0.25">
      <c r="A166" t="s">
        <v>3226</v>
      </c>
      <c r="B166" t="s">
        <v>3221</v>
      </c>
    </row>
    <row r="167" spans="1:2" hidden="1" x14ac:dyDescent="0.25">
      <c r="A167" t="s">
        <v>3227</v>
      </c>
      <c r="B167" t="s">
        <v>3221</v>
      </c>
    </row>
    <row r="168" spans="1:2" hidden="1" x14ac:dyDescent="0.25">
      <c r="A168" t="s">
        <v>3228</v>
      </c>
      <c r="B168" t="s">
        <v>3221</v>
      </c>
    </row>
    <row r="169" spans="1:2" hidden="1" x14ac:dyDescent="0.25">
      <c r="A169" t="s">
        <v>3229</v>
      </c>
      <c r="B169" t="s">
        <v>3221</v>
      </c>
    </row>
    <row r="170" spans="1:2" hidden="1" x14ac:dyDescent="0.25">
      <c r="A170" t="s">
        <v>3230</v>
      </c>
      <c r="B170" t="s">
        <v>3221</v>
      </c>
    </row>
    <row r="171" spans="1:2" hidden="1" x14ac:dyDescent="0.25">
      <c r="A171" t="s">
        <v>3231</v>
      </c>
      <c r="B171" t="s">
        <v>3221</v>
      </c>
    </row>
    <row r="172" spans="1:2" hidden="1" x14ac:dyDescent="0.25">
      <c r="A172" t="s">
        <v>3232</v>
      </c>
      <c r="B172" t="s">
        <v>3221</v>
      </c>
    </row>
    <row r="173" spans="1:2" hidden="1" x14ac:dyDescent="0.25">
      <c r="A173" t="s">
        <v>3233</v>
      </c>
      <c r="B173" t="s">
        <v>3221</v>
      </c>
    </row>
    <row r="174" spans="1:2" hidden="1" x14ac:dyDescent="0.25">
      <c r="A174" t="s">
        <v>3234</v>
      </c>
      <c r="B174" t="s">
        <v>3221</v>
      </c>
    </row>
    <row r="175" spans="1:2" hidden="1" x14ac:dyDescent="0.25">
      <c r="A175" t="s">
        <v>3235</v>
      </c>
      <c r="B175" t="s">
        <v>3221</v>
      </c>
    </row>
    <row r="176" spans="1:2" hidden="1" x14ac:dyDescent="0.25">
      <c r="A176" t="s">
        <v>3236</v>
      </c>
      <c r="B176" t="s">
        <v>3221</v>
      </c>
    </row>
    <row r="177" spans="1:2" hidden="1" x14ac:dyDescent="0.25">
      <c r="A177" t="s">
        <v>3237</v>
      </c>
      <c r="B177" t="s">
        <v>3221</v>
      </c>
    </row>
    <row r="178" spans="1:2" hidden="1" x14ac:dyDescent="0.25">
      <c r="A178" t="s">
        <v>3238</v>
      </c>
      <c r="B178" t="s">
        <v>3221</v>
      </c>
    </row>
    <row r="179" spans="1:2" hidden="1" x14ac:dyDescent="0.25">
      <c r="A179" t="s">
        <v>3239</v>
      </c>
      <c r="B179" t="s">
        <v>3221</v>
      </c>
    </row>
    <row r="180" spans="1:2" hidden="1" x14ac:dyDescent="0.25">
      <c r="A180" t="s">
        <v>3240</v>
      </c>
      <c r="B180" t="s">
        <v>3221</v>
      </c>
    </row>
    <row r="181" spans="1:2" hidden="1" x14ac:dyDescent="0.25">
      <c r="A181" t="s">
        <v>3241</v>
      </c>
      <c r="B181" t="s">
        <v>3221</v>
      </c>
    </row>
    <row r="182" spans="1:2" hidden="1" x14ac:dyDescent="0.25">
      <c r="A182" t="s">
        <v>3242</v>
      </c>
      <c r="B182" t="s">
        <v>3221</v>
      </c>
    </row>
    <row r="183" spans="1:2" hidden="1" x14ac:dyDescent="0.25">
      <c r="A183" t="s">
        <v>3243</v>
      </c>
      <c r="B183" t="s">
        <v>3221</v>
      </c>
    </row>
    <row r="184" spans="1:2" hidden="1" x14ac:dyDescent="0.25">
      <c r="A184" t="s">
        <v>3244</v>
      </c>
      <c r="B184" t="s">
        <v>3221</v>
      </c>
    </row>
    <row r="185" spans="1:2" hidden="1" x14ac:dyDescent="0.25">
      <c r="A185" t="s">
        <v>3245</v>
      </c>
      <c r="B185" t="s">
        <v>3221</v>
      </c>
    </row>
    <row r="186" spans="1:2" hidden="1" x14ac:dyDescent="0.25">
      <c r="A186" t="s">
        <v>3246</v>
      </c>
      <c r="B186" t="s">
        <v>3221</v>
      </c>
    </row>
    <row r="187" spans="1:2" hidden="1" x14ac:dyDescent="0.25">
      <c r="A187" t="s">
        <v>3247</v>
      </c>
      <c r="B187" t="s">
        <v>3221</v>
      </c>
    </row>
    <row r="188" spans="1:2" hidden="1" x14ac:dyDescent="0.25">
      <c r="A188" t="s">
        <v>3248</v>
      </c>
      <c r="B188" t="s">
        <v>3221</v>
      </c>
    </row>
    <row r="189" spans="1:2" hidden="1" x14ac:dyDescent="0.25">
      <c r="A189" t="s">
        <v>3249</v>
      </c>
      <c r="B189" t="s">
        <v>3221</v>
      </c>
    </row>
    <row r="190" spans="1:2" hidden="1" x14ac:dyDescent="0.25">
      <c r="A190" t="s">
        <v>3250</v>
      </c>
      <c r="B190" t="s">
        <v>3221</v>
      </c>
    </row>
    <row r="191" spans="1:2" hidden="1" x14ac:dyDescent="0.25">
      <c r="A191" t="s">
        <v>3251</v>
      </c>
      <c r="B191" t="s">
        <v>3221</v>
      </c>
    </row>
    <row r="192" spans="1:2" hidden="1" x14ac:dyDescent="0.25">
      <c r="A192" t="s">
        <v>3252</v>
      </c>
      <c r="B192" t="s">
        <v>3221</v>
      </c>
    </row>
    <row r="193" spans="1:2" x14ac:dyDescent="0.25">
      <c r="A193" t="s">
        <v>3253</v>
      </c>
      <c r="B193" t="s">
        <v>3254</v>
      </c>
    </row>
    <row r="194" spans="1:2" x14ac:dyDescent="0.25">
      <c r="A194" t="s">
        <v>3255</v>
      </c>
      <c r="B194" t="s">
        <v>3254</v>
      </c>
    </row>
    <row r="195" spans="1:2" x14ac:dyDescent="0.25">
      <c r="A195" t="s">
        <v>3256</v>
      </c>
      <c r="B195" t="s">
        <v>3254</v>
      </c>
    </row>
    <row r="196" spans="1:2" x14ac:dyDescent="0.25">
      <c r="A196" t="s">
        <v>3257</v>
      </c>
      <c r="B196" t="s">
        <v>3254</v>
      </c>
    </row>
    <row r="197" spans="1:2" x14ac:dyDescent="0.25">
      <c r="A197" t="s">
        <v>3258</v>
      </c>
      <c r="B197" t="s">
        <v>3254</v>
      </c>
    </row>
    <row r="198" spans="1:2" x14ac:dyDescent="0.25">
      <c r="A198" t="s">
        <v>3259</v>
      </c>
      <c r="B198" t="s">
        <v>3254</v>
      </c>
    </row>
    <row r="199" spans="1:2" x14ac:dyDescent="0.25">
      <c r="A199" t="s">
        <v>3260</v>
      </c>
      <c r="B199" t="s">
        <v>3254</v>
      </c>
    </row>
    <row r="200" spans="1:2" x14ac:dyDescent="0.25">
      <c r="A200" t="s">
        <v>3261</v>
      </c>
      <c r="B200" t="s">
        <v>3254</v>
      </c>
    </row>
    <row r="201" spans="1:2" x14ac:dyDescent="0.25">
      <c r="A201" t="s">
        <v>3262</v>
      </c>
      <c r="B201" t="s">
        <v>3254</v>
      </c>
    </row>
    <row r="202" spans="1:2" x14ac:dyDescent="0.25">
      <c r="A202" t="s">
        <v>3263</v>
      </c>
      <c r="B202" t="s">
        <v>3254</v>
      </c>
    </row>
    <row r="203" spans="1:2" x14ac:dyDescent="0.25">
      <c r="A203" t="s">
        <v>3264</v>
      </c>
      <c r="B203" t="s">
        <v>3254</v>
      </c>
    </row>
    <row r="204" spans="1:2" x14ac:dyDescent="0.25">
      <c r="A204" t="s">
        <v>3265</v>
      </c>
      <c r="B204" t="s">
        <v>3254</v>
      </c>
    </row>
    <row r="205" spans="1:2" x14ac:dyDescent="0.25">
      <c r="A205" t="s">
        <v>3266</v>
      </c>
      <c r="B205" t="s">
        <v>3254</v>
      </c>
    </row>
    <row r="206" spans="1:2" x14ac:dyDescent="0.25">
      <c r="A206" t="s">
        <v>3267</v>
      </c>
      <c r="B206" t="s">
        <v>3254</v>
      </c>
    </row>
    <row r="207" spans="1:2" x14ac:dyDescent="0.25">
      <c r="A207" t="s">
        <v>3268</v>
      </c>
      <c r="B207" t="s">
        <v>3254</v>
      </c>
    </row>
    <row r="208" spans="1:2" x14ac:dyDescent="0.25">
      <c r="A208" t="s">
        <v>3269</v>
      </c>
      <c r="B208" t="s">
        <v>3254</v>
      </c>
    </row>
    <row r="209" spans="1:2" x14ac:dyDescent="0.25">
      <c r="A209" t="s">
        <v>3270</v>
      </c>
      <c r="B209" t="s">
        <v>3254</v>
      </c>
    </row>
    <row r="210" spans="1:2" x14ac:dyDescent="0.25">
      <c r="A210" t="s">
        <v>3271</v>
      </c>
      <c r="B210" t="s">
        <v>3254</v>
      </c>
    </row>
    <row r="211" spans="1:2" x14ac:dyDescent="0.25">
      <c r="A211" t="s">
        <v>3272</v>
      </c>
      <c r="B211" t="s">
        <v>3254</v>
      </c>
    </row>
    <row r="212" spans="1:2" x14ac:dyDescent="0.25">
      <c r="A212" t="s">
        <v>3273</v>
      </c>
      <c r="B212" t="s">
        <v>3254</v>
      </c>
    </row>
    <row r="213" spans="1:2" x14ac:dyDescent="0.25">
      <c r="A213" t="s">
        <v>3274</v>
      </c>
      <c r="B213" t="s">
        <v>3254</v>
      </c>
    </row>
    <row r="214" spans="1:2" x14ac:dyDescent="0.25">
      <c r="A214" t="s">
        <v>3275</v>
      </c>
      <c r="B214" t="s">
        <v>3254</v>
      </c>
    </row>
    <row r="215" spans="1:2" x14ac:dyDescent="0.25">
      <c r="A215" t="s">
        <v>3276</v>
      </c>
      <c r="B215" t="s">
        <v>3254</v>
      </c>
    </row>
    <row r="216" spans="1:2" x14ac:dyDescent="0.25">
      <c r="A216" t="s">
        <v>3277</v>
      </c>
      <c r="B216" t="s">
        <v>3254</v>
      </c>
    </row>
    <row r="217" spans="1:2" x14ac:dyDescent="0.25">
      <c r="A217" t="s">
        <v>3278</v>
      </c>
      <c r="B217" t="s">
        <v>3254</v>
      </c>
    </row>
    <row r="218" spans="1:2" x14ac:dyDescent="0.25">
      <c r="A218" t="s">
        <v>3279</v>
      </c>
      <c r="B218" t="s">
        <v>3254</v>
      </c>
    </row>
    <row r="219" spans="1:2" x14ac:dyDescent="0.25">
      <c r="A219" t="s">
        <v>3280</v>
      </c>
      <c r="B219" t="s">
        <v>3254</v>
      </c>
    </row>
    <row r="220" spans="1:2" x14ac:dyDescent="0.25">
      <c r="A220" t="s">
        <v>3281</v>
      </c>
      <c r="B220" t="s">
        <v>3254</v>
      </c>
    </row>
    <row r="221" spans="1:2" x14ac:dyDescent="0.25">
      <c r="A221" t="s">
        <v>3282</v>
      </c>
      <c r="B221" t="s">
        <v>3254</v>
      </c>
    </row>
    <row r="222" spans="1:2" x14ac:dyDescent="0.25">
      <c r="A222" t="s">
        <v>3283</v>
      </c>
      <c r="B222" t="s">
        <v>3254</v>
      </c>
    </row>
    <row r="223" spans="1:2" x14ac:dyDescent="0.25">
      <c r="A223" t="s">
        <v>3284</v>
      </c>
      <c r="B223" t="s">
        <v>3254</v>
      </c>
    </row>
    <row r="224" spans="1:2" x14ac:dyDescent="0.25">
      <c r="A224" t="s">
        <v>3285</v>
      </c>
      <c r="B224" t="s">
        <v>3254</v>
      </c>
    </row>
    <row r="225" spans="1:2" x14ac:dyDescent="0.25">
      <c r="A225" t="s">
        <v>3286</v>
      </c>
      <c r="B225" t="s">
        <v>3254</v>
      </c>
    </row>
    <row r="226" spans="1:2" x14ac:dyDescent="0.25">
      <c r="A226" t="s">
        <v>3287</v>
      </c>
      <c r="B226" t="s">
        <v>3254</v>
      </c>
    </row>
    <row r="227" spans="1:2" x14ac:dyDescent="0.25">
      <c r="A227" t="s">
        <v>3288</v>
      </c>
      <c r="B227" t="s">
        <v>3254</v>
      </c>
    </row>
    <row r="228" spans="1:2" x14ac:dyDescent="0.25">
      <c r="A228" t="s">
        <v>3289</v>
      </c>
      <c r="B228" t="s">
        <v>3254</v>
      </c>
    </row>
    <row r="229" spans="1:2" x14ac:dyDescent="0.25">
      <c r="A229" t="s">
        <v>3290</v>
      </c>
      <c r="B229" t="s">
        <v>3254</v>
      </c>
    </row>
    <row r="230" spans="1:2" x14ac:dyDescent="0.25">
      <c r="A230" t="s">
        <v>3291</v>
      </c>
      <c r="B230" t="s">
        <v>3254</v>
      </c>
    </row>
    <row r="231" spans="1:2" x14ac:dyDescent="0.25">
      <c r="A231" t="s">
        <v>3292</v>
      </c>
      <c r="B231" t="s">
        <v>3254</v>
      </c>
    </row>
    <row r="232" spans="1:2" x14ac:dyDescent="0.25">
      <c r="A232" t="s">
        <v>3293</v>
      </c>
      <c r="B232" t="s">
        <v>3254</v>
      </c>
    </row>
    <row r="233" spans="1:2" x14ac:dyDescent="0.25">
      <c r="A233" t="s">
        <v>3294</v>
      </c>
      <c r="B233" t="s">
        <v>3254</v>
      </c>
    </row>
    <row r="234" spans="1:2" x14ac:dyDescent="0.25">
      <c r="A234" t="s">
        <v>3295</v>
      </c>
      <c r="B234" t="s">
        <v>3254</v>
      </c>
    </row>
    <row r="235" spans="1:2" hidden="1" x14ac:dyDescent="0.25">
      <c r="A235" t="s">
        <v>3296</v>
      </c>
      <c r="B235" t="s">
        <v>3297</v>
      </c>
    </row>
    <row r="236" spans="1:2" hidden="1" x14ac:dyDescent="0.25">
      <c r="A236" t="s">
        <v>3298</v>
      </c>
      <c r="B236" t="s">
        <v>3297</v>
      </c>
    </row>
    <row r="237" spans="1:2" hidden="1" x14ac:dyDescent="0.25">
      <c r="A237" t="s">
        <v>3299</v>
      </c>
      <c r="B237" t="s">
        <v>3297</v>
      </c>
    </row>
    <row r="238" spans="1:2" hidden="1" x14ac:dyDescent="0.25">
      <c r="A238" t="s">
        <v>3300</v>
      </c>
      <c r="B238" t="s">
        <v>3297</v>
      </c>
    </row>
    <row r="239" spans="1:2" hidden="1" x14ac:dyDescent="0.25">
      <c r="A239" t="s">
        <v>3301</v>
      </c>
      <c r="B239" t="s">
        <v>3297</v>
      </c>
    </row>
    <row r="240" spans="1:2" hidden="1" x14ac:dyDescent="0.25">
      <c r="A240" t="s">
        <v>3302</v>
      </c>
      <c r="B240" t="s">
        <v>3297</v>
      </c>
    </row>
    <row r="241" spans="1:2" hidden="1" x14ac:dyDescent="0.25">
      <c r="A241" t="s">
        <v>3303</v>
      </c>
      <c r="B241" t="s">
        <v>3297</v>
      </c>
    </row>
    <row r="242" spans="1:2" hidden="1" x14ac:dyDescent="0.25">
      <c r="A242" t="s">
        <v>3304</v>
      </c>
      <c r="B242" t="s">
        <v>3297</v>
      </c>
    </row>
    <row r="243" spans="1:2" hidden="1" x14ac:dyDescent="0.25">
      <c r="A243" t="s">
        <v>3305</v>
      </c>
      <c r="B243" t="s">
        <v>3297</v>
      </c>
    </row>
    <row r="244" spans="1:2" hidden="1" x14ac:dyDescent="0.25">
      <c r="A244" t="s">
        <v>3306</v>
      </c>
      <c r="B244" t="s">
        <v>3297</v>
      </c>
    </row>
    <row r="245" spans="1:2" hidden="1" x14ac:dyDescent="0.25">
      <c r="A245" t="s">
        <v>3307</v>
      </c>
      <c r="B245" t="s">
        <v>3297</v>
      </c>
    </row>
    <row r="246" spans="1:2" hidden="1" x14ac:dyDescent="0.25">
      <c r="A246" t="s">
        <v>3308</v>
      </c>
      <c r="B246" t="s">
        <v>3297</v>
      </c>
    </row>
    <row r="247" spans="1:2" hidden="1" x14ac:dyDescent="0.25">
      <c r="A247" t="s">
        <v>3309</v>
      </c>
      <c r="B247" t="s">
        <v>3297</v>
      </c>
    </row>
    <row r="248" spans="1:2" hidden="1" x14ac:dyDescent="0.25">
      <c r="A248" t="s">
        <v>3310</v>
      </c>
      <c r="B248" t="s">
        <v>3297</v>
      </c>
    </row>
    <row r="249" spans="1:2" hidden="1" x14ac:dyDescent="0.25">
      <c r="A249" t="s">
        <v>3311</v>
      </c>
      <c r="B249" t="s">
        <v>3297</v>
      </c>
    </row>
    <row r="250" spans="1:2" hidden="1" x14ac:dyDescent="0.25">
      <c r="A250" t="s">
        <v>3312</v>
      </c>
      <c r="B250" t="s">
        <v>3297</v>
      </c>
    </row>
    <row r="251" spans="1:2" hidden="1" x14ac:dyDescent="0.25">
      <c r="A251" t="s">
        <v>3313</v>
      </c>
      <c r="B251" t="s">
        <v>3297</v>
      </c>
    </row>
    <row r="252" spans="1:2" hidden="1" x14ac:dyDescent="0.25">
      <c r="A252" t="s">
        <v>3314</v>
      </c>
      <c r="B252" t="s">
        <v>3297</v>
      </c>
    </row>
    <row r="253" spans="1:2" hidden="1" x14ac:dyDescent="0.25">
      <c r="A253" t="s">
        <v>3315</v>
      </c>
      <c r="B253" t="s">
        <v>3297</v>
      </c>
    </row>
    <row r="254" spans="1:2" hidden="1" x14ac:dyDescent="0.25">
      <c r="A254" t="s">
        <v>3316</v>
      </c>
      <c r="B254" t="s">
        <v>3297</v>
      </c>
    </row>
    <row r="255" spans="1:2" hidden="1" x14ac:dyDescent="0.25">
      <c r="A255" t="s">
        <v>3317</v>
      </c>
      <c r="B255" t="s">
        <v>3297</v>
      </c>
    </row>
    <row r="256" spans="1:2" hidden="1" x14ac:dyDescent="0.25">
      <c r="A256" t="s">
        <v>3318</v>
      </c>
      <c r="B256" t="s">
        <v>3297</v>
      </c>
    </row>
    <row r="257" spans="1:2" hidden="1" x14ac:dyDescent="0.25">
      <c r="A257" t="s">
        <v>3319</v>
      </c>
      <c r="B257" t="s">
        <v>3297</v>
      </c>
    </row>
    <row r="258" spans="1:2" hidden="1" x14ac:dyDescent="0.25">
      <c r="A258" t="s">
        <v>3320</v>
      </c>
      <c r="B258" t="s">
        <v>3297</v>
      </c>
    </row>
    <row r="259" spans="1:2" hidden="1" x14ac:dyDescent="0.25">
      <c r="A259" t="s">
        <v>3321</v>
      </c>
      <c r="B259" t="s">
        <v>3297</v>
      </c>
    </row>
    <row r="260" spans="1:2" hidden="1" x14ac:dyDescent="0.25">
      <c r="A260" t="s">
        <v>3322</v>
      </c>
      <c r="B260" t="s">
        <v>3297</v>
      </c>
    </row>
    <row r="261" spans="1:2" hidden="1" x14ac:dyDescent="0.25">
      <c r="A261" t="s">
        <v>3323</v>
      </c>
      <c r="B261" t="s">
        <v>3297</v>
      </c>
    </row>
    <row r="262" spans="1:2" hidden="1" x14ac:dyDescent="0.25">
      <c r="A262" t="s">
        <v>3324</v>
      </c>
      <c r="B262" t="s">
        <v>3297</v>
      </c>
    </row>
    <row r="263" spans="1:2" hidden="1" x14ac:dyDescent="0.25">
      <c r="A263" t="s">
        <v>3325</v>
      </c>
      <c r="B263" t="s">
        <v>3297</v>
      </c>
    </row>
    <row r="264" spans="1:2" hidden="1" x14ac:dyDescent="0.25">
      <c r="A264" t="s">
        <v>3326</v>
      </c>
      <c r="B264" t="s">
        <v>3297</v>
      </c>
    </row>
    <row r="265" spans="1:2" hidden="1" x14ac:dyDescent="0.25">
      <c r="A265" t="s">
        <v>3327</v>
      </c>
      <c r="B265" t="s">
        <v>3297</v>
      </c>
    </row>
    <row r="266" spans="1:2" hidden="1" x14ac:dyDescent="0.25">
      <c r="A266" t="s">
        <v>3328</v>
      </c>
      <c r="B266" t="s">
        <v>3297</v>
      </c>
    </row>
    <row r="267" spans="1:2" hidden="1" x14ac:dyDescent="0.25">
      <c r="A267" t="s">
        <v>3329</v>
      </c>
      <c r="B267" t="s">
        <v>3297</v>
      </c>
    </row>
    <row r="268" spans="1:2" hidden="1" x14ac:dyDescent="0.25">
      <c r="A268" t="s">
        <v>3330</v>
      </c>
      <c r="B268" t="s">
        <v>3297</v>
      </c>
    </row>
    <row r="269" spans="1:2" hidden="1" x14ac:dyDescent="0.25">
      <c r="A269" t="s">
        <v>3331</v>
      </c>
      <c r="B269" t="s">
        <v>3297</v>
      </c>
    </row>
    <row r="270" spans="1:2" hidden="1" x14ac:dyDescent="0.25">
      <c r="A270" t="s">
        <v>3332</v>
      </c>
      <c r="B270" t="s">
        <v>3297</v>
      </c>
    </row>
    <row r="271" spans="1:2" hidden="1" x14ac:dyDescent="0.25">
      <c r="A271" t="s">
        <v>3333</v>
      </c>
      <c r="B271" t="s">
        <v>3297</v>
      </c>
    </row>
    <row r="272" spans="1:2" hidden="1" x14ac:dyDescent="0.25">
      <c r="A272" t="s">
        <v>3334</v>
      </c>
      <c r="B272" t="s">
        <v>3297</v>
      </c>
    </row>
    <row r="273" spans="1:2" hidden="1" x14ac:dyDescent="0.25">
      <c r="A273" t="s">
        <v>3335</v>
      </c>
      <c r="B273" t="s">
        <v>3297</v>
      </c>
    </row>
    <row r="274" spans="1:2" hidden="1" x14ac:dyDescent="0.25">
      <c r="A274" t="s">
        <v>3336</v>
      </c>
      <c r="B274" t="s">
        <v>3297</v>
      </c>
    </row>
    <row r="275" spans="1:2" hidden="1" x14ac:dyDescent="0.25">
      <c r="A275" t="s">
        <v>3337</v>
      </c>
      <c r="B275" t="s">
        <v>3297</v>
      </c>
    </row>
    <row r="276" spans="1:2" hidden="1" x14ac:dyDescent="0.25">
      <c r="A276" t="s">
        <v>3338</v>
      </c>
      <c r="B276" t="s">
        <v>3297</v>
      </c>
    </row>
    <row r="277" spans="1:2" hidden="1" x14ac:dyDescent="0.25">
      <c r="A277" t="s">
        <v>3339</v>
      </c>
      <c r="B277" t="s">
        <v>3297</v>
      </c>
    </row>
    <row r="278" spans="1:2" hidden="1" x14ac:dyDescent="0.25">
      <c r="A278" t="s">
        <v>3340</v>
      </c>
      <c r="B278" t="s">
        <v>3297</v>
      </c>
    </row>
    <row r="279" spans="1:2" hidden="1" x14ac:dyDescent="0.25">
      <c r="A279" t="s">
        <v>3341</v>
      </c>
      <c r="B279" t="s">
        <v>3297</v>
      </c>
    </row>
    <row r="280" spans="1:2" hidden="1" x14ac:dyDescent="0.25">
      <c r="A280" t="s">
        <v>3342</v>
      </c>
      <c r="B280" t="s">
        <v>3297</v>
      </c>
    </row>
    <row r="281" spans="1:2" hidden="1" x14ac:dyDescent="0.25">
      <c r="A281" t="s">
        <v>3343</v>
      </c>
      <c r="B281" t="s">
        <v>3297</v>
      </c>
    </row>
    <row r="282" spans="1:2" hidden="1" x14ac:dyDescent="0.25">
      <c r="A282" t="s">
        <v>3344</v>
      </c>
      <c r="B282" t="s">
        <v>3297</v>
      </c>
    </row>
    <row r="283" spans="1:2" hidden="1" x14ac:dyDescent="0.25">
      <c r="A283" t="s">
        <v>3345</v>
      </c>
      <c r="B283" t="s">
        <v>3297</v>
      </c>
    </row>
    <row r="284" spans="1:2" hidden="1" x14ac:dyDescent="0.25">
      <c r="A284" t="s">
        <v>3346</v>
      </c>
      <c r="B284" t="s">
        <v>3297</v>
      </c>
    </row>
    <row r="285" spans="1:2" hidden="1" x14ac:dyDescent="0.25">
      <c r="A285" t="s">
        <v>3347</v>
      </c>
      <c r="B285" t="s">
        <v>3297</v>
      </c>
    </row>
    <row r="286" spans="1:2" hidden="1" x14ac:dyDescent="0.25">
      <c r="A286" t="s">
        <v>3348</v>
      </c>
      <c r="B286" t="s">
        <v>3297</v>
      </c>
    </row>
    <row r="287" spans="1:2" hidden="1" x14ac:dyDescent="0.25">
      <c r="A287" t="s">
        <v>3349</v>
      </c>
      <c r="B287" t="s">
        <v>3297</v>
      </c>
    </row>
    <row r="288" spans="1:2" hidden="1" x14ac:dyDescent="0.25">
      <c r="A288" t="s">
        <v>3350</v>
      </c>
      <c r="B288" t="s">
        <v>3297</v>
      </c>
    </row>
    <row r="289" spans="1:2" hidden="1" x14ac:dyDescent="0.25">
      <c r="A289" t="s">
        <v>3351</v>
      </c>
      <c r="B289" t="s">
        <v>3297</v>
      </c>
    </row>
    <row r="290" spans="1:2" hidden="1" x14ac:dyDescent="0.25">
      <c r="A290" t="s">
        <v>3352</v>
      </c>
      <c r="B290" t="s">
        <v>3297</v>
      </c>
    </row>
    <row r="291" spans="1:2" hidden="1" x14ac:dyDescent="0.25">
      <c r="A291" t="s">
        <v>3353</v>
      </c>
      <c r="B291" t="s">
        <v>3297</v>
      </c>
    </row>
    <row r="292" spans="1:2" hidden="1" x14ac:dyDescent="0.25">
      <c r="A292" t="s">
        <v>3354</v>
      </c>
      <c r="B292" t="s">
        <v>3297</v>
      </c>
    </row>
    <row r="293" spans="1:2" hidden="1" x14ac:dyDescent="0.25">
      <c r="A293" t="s">
        <v>3355</v>
      </c>
      <c r="B293" t="s">
        <v>3297</v>
      </c>
    </row>
    <row r="294" spans="1:2" hidden="1" x14ac:dyDescent="0.25">
      <c r="A294" t="s">
        <v>3356</v>
      </c>
      <c r="B294" t="s">
        <v>3297</v>
      </c>
    </row>
    <row r="295" spans="1:2" hidden="1" x14ac:dyDescent="0.25">
      <c r="A295" t="s">
        <v>3357</v>
      </c>
      <c r="B295" t="s">
        <v>3297</v>
      </c>
    </row>
    <row r="296" spans="1:2" hidden="1" x14ac:dyDescent="0.25">
      <c r="A296" t="s">
        <v>3358</v>
      </c>
      <c r="B296" t="s">
        <v>3297</v>
      </c>
    </row>
    <row r="297" spans="1:2" hidden="1" x14ac:dyDescent="0.25">
      <c r="A297" t="s">
        <v>3359</v>
      </c>
      <c r="B297" t="s">
        <v>3297</v>
      </c>
    </row>
    <row r="298" spans="1:2" hidden="1" x14ac:dyDescent="0.25">
      <c r="A298" t="s">
        <v>3360</v>
      </c>
      <c r="B298" t="s">
        <v>3297</v>
      </c>
    </row>
    <row r="299" spans="1:2" hidden="1" x14ac:dyDescent="0.25">
      <c r="A299" t="s">
        <v>3361</v>
      </c>
      <c r="B299" t="s">
        <v>3297</v>
      </c>
    </row>
    <row r="300" spans="1:2" hidden="1" x14ac:dyDescent="0.25">
      <c r="A300" t="s">
        <v>3362</v>
      </c>
      <c r="B300" t="s">
        <v>3297</v>
      </c>
    </row>
    <row r="301" spans="1:2" hidden="1" x14ac:dyDescent="0.25">
      <c r="A301" t="s">
        <v>3363</v>
      </c>
      <c r="B301" t="s">
        <v>3297</v>
      </c>
    </row>
    <row r="302" spans="1:2" hidden="1" x14ac:dyDescent="0.25">
      <c r="A302" t="s">
        <v>3364</v>
      </c>
      <c r="B302" t="s">
        <v>3297</v>
      </c>
    </row>
    <row r="303" spans="1:2" hidden="1" x14ac:dyDescent="0.25">
      <c r="A303" t="s">
        <v>3365</v>
      </c>
      <c r="B303" t="s">
        <v>3297</v>
      </c>
    </row>
    <row r="304" spans="1:2" hidden="1" x14ac:dyDescent="0.25">
      <c r="A304" t="s">
        <v>3366</v>
      </c>
      <c r="B304" t="s">
        <v>3297</v>
      </c>
    </row>
    <row r="305" spans="1:2" hidden="1" x14ac:dyDescent="0.25">
      <c r="A305" t="s">
        <v>3367</v>
      </c>
      <c r="B305" t="s">
        <v>3297</v>
      </c>
    </row>
    <row r="306" spans="1:2" hidden="1" x14ac:dyDescent="0.25">
      <c r="A306" t="s">
        <v>3368</v>
      </c>
      <c r="B306" t="s">
        <v>3297</v>
      </c>
    </row>
    <row r="307" spans="1:2" hidden="1" x14ac:dyDescent="0.25">
      <c r="A307" t="s">
        <v>3369</v>
      </c>
      <c r="B307" t="s">
        <v>3297</v>
      </c>
    </row>
    <row r="308" spans="1:2" hidden="1" x14ac:dyDescent="0.25">
      <c r="A308" t="s">
        <v>3370</v>
      </c>
      <c r="B308" t="s">
        <v>3297</v>
      </c>
    </row>
    <row r="309" spans="1:2" hidden="1" x14ac:dyDescent="0.25">
      <c r="A309" t="s">
        <v>3371</v>
      </c>
      <c r="B309" t="s">
        <v>3297</v>
      </c>
    </row>
    <row r="310" spans="1:2" hidden="1" x14ac:dyDescent="0.25">
      <c r="A310" t="s">
        <v>3372</v>
      </c>
      <c r="B310" t="s">
        <v>3297</v>
      </c>
    </row>
    <row r="311" spans="1:2" hidden="1" x14ac:dyDescent="0.25">
      <c r="A311" t="s">
        <v>3373</v>
      </c>
      <c r="B311" t="s">
        <v>3297</v>
      </c>
    </row>
    <row r="312" spans="1:2" hidden="1" x14ac:dyDescent="0.25">
      <c r="A312" t="s">
        <v>3374</v>
      </c>
      <c r="B312" t="s">
        <v>3297</v>
      </c>
    </row>
    <row r="313" spans="1:2" hidden="1" x14ac:dyDescent="0.25">
      <c r="A313" t="s">
        <v>3375</v>
      </c>
      <c r="B313" t="s">
        <v>3297</v>
      </c>
    </row>
    <row r="314" spans="1:2" hidden="1" x14ac:dyDescent="0.25">
      <c r="A314" t="s">
        <v>3376</v>
      </c>
      <c r="B314" t="s">
        <v>3297</v>
      </c>
    </row>
    <row r="315" spans="1:2" hidden="1" x14ac:dyDescent="0.25">
      <c r="A315" t="s">
        <v>3377</v>
      </c>
      <c r="B315" t="s">
        <v>3297</v>
      </c>
    </row>
    <row r="316" spans="1:2" hidden="1" x14ac:dyDescent="0.25">
      <c r="A316" t="s">
        <v>3378</v>
      </c>
      <c r="B316" t="s">
        <v>3297</v>
      </c>
    </row>
    <row r="317" spans="1:2" hidden="1" x14ac:dyDescent="0.25">
      <c r="A317" t="s">
        <v>3379</v>
      </c>
      <c r="B317" t="s">
        <v>3297</v>
      </c>
    </row>
    <row r="318" spans="1:2" hidden="1" x14ac:dyDescent="0.25">
      <c r="A318" t="s">
        <v>3380</v>
      </c>
      <c r="B318" t="s">
        <v>3297</v>
      </c>
    </row>
    <row r="319" spans="1:2" hidden="1" x14ac:dyDescent="0.25">
      <c r="A319" t="s">
        <v>3381</v>
      </c>
      <c r="B319" t="s">
        <v>3297</v>
      </c>
    </row>
    <row r="320" spans="1:2" hidden="1" x14ac:dyDescent="0.25">
      <c r="A320" t="s">
        <v>3382</v>
      </c>
      <c r="B320" t="s">
        <v>3297</v>
      </c>
    </row>
    <row r="321" spans="1:2" hidden="1" x14ac:dyDescent="0.25">
      <c r="A321" t="s">
        <v>3383</v>
      </c>
      <c r="B321" t="s">
        <v>3297</v>
      </c>
    </row>
    <row r="322" spans="1:2" hidden="1" x14ac:dyDescent="0.25">
      <c r="A322" t="s">
        <v>3384</v>
      </c>
      <c r="B322" t="s">
        <v>3297</v>
      </c>
    </row>
    <row r="323" spans="1:2" hidden="1" x14ac:dyDescent="0.25">
      <c r="A323" t="s">
        <v>3385</v>
      </c>
      <c r="B323" t="s">
        <v>3297</v>
      </c>
    </row>
    <row r="324" spans="1:2" hidden="1" x14ac:dyDescent="0.25">
      <c r="A324" t="s">
        <v>3386</v>
      </c>
      <c r="B324" t="s">
        <v>3297</v>
      </c>
    </row>
    <row r="325" spans="1:2" hidden="1" x14ac:dyDescent="0.25">
      <c r="A325" t="s">
        <v>3387</v>
      </c>
      <c r="B325" t="s">
        <v>3297</v>
      </c>
    </row>
    <row r="326" spans="1:2" hidden="1" x14ac:dyDescent="0.25">
      <c r="A326" t="s">
        <v>3388</v>
      </c>
      <c r="B326" t="s">
        <v>3297</v>
      </c>
    </row>
    <row r="327" spans="1:2" hidden="1" x14ac:dyDescent="0.25">
      <c r="A327" t="s">
        <v>3389</v>
      </c>
      <c r="B327" t="s">
        <v>3297</v>
      </c>
    </row>
    <row r="328" spans="1:2" hidden="1" x14ac:dyDescent="0.25">
      <c r="A328" t="s">
        <v>3390</v>
      </c>
      <c r="B328" t="s">
        <v>3297</v>
      </c>
    </row>
    <row r="329" spans="1:2" hidden="1" x14ac:dyDescent="0.25">
      <c r="A329" t="s">
        <v>3391</v>
      </c>
      <c r="B329" t="s">
        <v>3297</v>
      </c>
    </row>
    <row r="330" spans="1:2" hidden="1" x14ac:dyDescent="0.25">
      <c r="A330" t="s">
        <v>3392</v>
      </c>
      <c r="B330" t="s">
        <v>3297</v>
      </c>
    </row>
    <row r="331" spans="1:2" hidden="1" x14ac:dyDescent="0.25">
      <c r="A331" t="s">
        <v>3393</v>
      </c>
      <c r="B331" t="s">
        <v>3297</v>
      </c>
    </row>
    <row r="332" spans="1:2" hidden="1" x14ac:dyDescent="0.25">
      <c r="A332" t="s">
        <v>3394</v>
      </c>
      <c r="B332" t="s">
        <v>3297</v>
      </c>
    </row>
    <row r="333" spans="1:2" hidden="1" x14ac:dyDescent="0.25">
      <c r="A333" t="s">
        <v>3395</v>
      </c>
      <c r="B333" t="s">
        <v>3297</v>
      </c>
    </row>
    <row r="334" spans="1:2" hidden="1" x14ac:dyDescent="0.25">
      <c r="A334" t="s">
        <v>3396</v>
      </c>
      <c r="B334" t="s">
        <v>3297</v>
      </c>
    </row>
    <row r="335" spans="1:2" hidden="1" x14ac:dyDescent="0.25">
      <c r="A335" t="s">
        <v>3397</v>
      </c>
      <c r="B335" t="s">
        <v>3297</v>
      </c>
    </row>
    <row r="336" spans="1:2" hidden="1" x14ac:dyDescent="0.25">
      <c r="A336" t="s">
        <v>3398</v>
      </c>
      <c r="B336" t="s">
        <v>3297</v>
      </c>
    </row>
    <row r="337" spans="1:2" hidden="1" x14ac:dyDescent="0.25">
      <c r="A337" t="s">
        <v>3399</v>
      </c>
      <c r="B337" t="s">
        <v>3297</v>
      </c>
    </row>
    <row r="338" spans="1:2" hidden="1" x14ac:dyDescent="0.25">
      <c r="A338" t="s">
        <v>3400</v>
      </c>
      <c r="B338" t="s">
        <v>3297</v>
      </c>
    </row>
    <row r="339" spans="1:2" hidden="1" x14ac:dyDescent="0.25">
      <c r="A339" t="s">
        <v>3401</v>
      </c>
      <c r="B339" t="s">
        <v>3297</v>
      </c>
    </row>
  </sheetData>
  <autoFilter ref="A1:B339" xr:uid="{CD5FF8FA-6693-446A-95C8-13FF568F4930}">
    <filterColumn colId="1">
      <filters>
        <filter val="Northern Ontario"/>
        <filter val="Ottawa"/>
      </filters>
    </filterColumn>
  </autoFilter>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D752D-BA10-4F65-BA2E-8D169272FF94}">
  <sheetPr codeName="Sheet25">
    <tabColor rgb="FFFFFF00"/>
  </sheetPr>
  <dimension ref="A1:R63"/>
  <sheetViews>
    <sheetView showGridLines="0" workbookViewId="0">
      <pane xSplit="9" ySplit="9" topLeftCell="K10" activePane="bottomRight" state="frozen"/>
      <selection activeCell="O26" sqref="O26"/>
      <selection pane="topRight" activeCell="O26" sqref="O26"/>
      <selection pane="bottomLeft" activeCell="O26" sqref="O26"/>
      <selection pane="bottomRight" activeCell="M7" sqref="M7:R7"/>
    </sheetView>
  </sheetViews>
  <sheetFormatPr defaultRowHeight="15" x14ac:dyDescent="0.25"/>
  <cols>
    <col min="1" max="1" width="4" customWidth="1"/>
    <col min="2" max="2" width="9.42578125" customWidth="1"/>
    <col min="3" max="3" width="32.140625" customWidth="1"/>
    <col min="4" max="4" width="31.5703125" customWidth="1"/>
    <col min="5" max="5" width="8.42578125" customWidth="1"/>
    <col min="6" max="6" width="8.85546875" customWidth="1"/>
    <col min="7" max="7" width="9.5703125" customWidth="1"/>
    <col min="8" max="8" width="9.28515625" style="207" customWidth="1"/>
    <col min="9" max="9" width="1.28515625" customWidth="1"/>
    <col min="10" max="10" width="2.42578125" customWidth="1"/>
    <col min="11" max="11" width="41.7109375" customWidth="1"/>
    <col min="12" max="12" width="2.28515625" customWidth="1"/>
    <col min="13" max="13" width="28.42578125" customWidth="1"/>
    <col min="14" max="14" width="1.42578125" customWidth="1"/>
    <col min="15" max="15" width="41.28515625" customWidth="1"/>
    <col min="16" max="16" width="2" customWidth="1"/>
    <col min="17" max="17" width="29.42578125" bestFit="1" customWidth="1"/>
    <col min="18" max="18" width="2.7109375" customWidth="1"/>
  </cols>
  <sheetData>
    <row r="1" spans="1:18" ht="28.5" x14ac:dyDescent="0.45">
      <c r="A1" s="327" t="s">
        <v>1383</v>
      </c>
      <c r="B1" s="328"/>
      <c r="C1" s="328"/>
      <c r="D1" s="328"/>
      <c r="E1" s="328"/>
      <c r="F1" s="328"/>
      <c r="G1" s="328"/>
      <c r="H1" s="329"/>
      <c r="I1" s="329"/>
      <c r="J1" s="328"/>
      <c r="K1" s="328"/>
      <c r="L1" s="328"/>
      <c r="M1" s="328"/>
      <c r="N1" s="328"/>
      <c r="O1" s="328"/>
      <c r="P1" s="328"/>
      <c r="Q1" s="328"/>
      <c r="R1" s="328"/>
    </row>
    <row r="2" spans="1:18" ht="16.5" thickBot="1" x14ac:dyDescent="0.3">
      <c r="A2" s="323" t="s">
        <v>1415</v>
      </c>
      <c r="B2" s="324"/>
      <c r="C2" s="324"/>
      <c r="D2" s="324"/>
      <c r="E2" s="324"/>
      <c r="F2" s="324"/>
      <c r="G2" s="324"/>
      <c r="H2" s="324"/>
      <c r="I2" s="324"/>
      <c r="J2" s="324"/>
      <c r="K2" s="324"/>
      <c r="L2" s="324"/>
      <c r="M2" s="324"/>
      <c r="N2" s="324"/>
      <c r="O2" s="324"/>
      <c r="P2" s="324"/>
      <c r="Q2" s="324"/>
      <c r="R2" s="324"/>
    </row>
    <row r="3" spans="1:18" ht="27" thickTop="1" x14ac:dyDescent="0.4">
      <c r="A3" s="311" t="s">
        <v>1382</v>
      </c>
      <c r="J3" s="311" t="s">
        <v>1381</v>
      </c>
    </row>
    <row r="4" spans="1:18" s="309" customFormat="1" ht="15.75" x14ac:dyDescent="0.25">
      <c r="A4" s="310" t="s">
        <v>1380</v>
      </c>
      <c r="H4" s="322"/>
      <c r="J4" s="310" t="s">
        <v>1379</v>
      </c>
    </row>
    <row r="6" spans="1:18" ht="17.25" x14ac:dyDescent="0.3">
      <c r="A6" s="334" t="s">
        <v>1384</v>
      </c>
      <c r="J6" s="5" t="s">
        <v>1378</v>
      </c>
      <c r="M6" s="333" t="str">
        <f ca="1">Map!AG9</f>
        <v>Decline</v>
      </c>
    </row>
    <row r="7" spans="1:18" ht="30" customHeight="1" x14ac:dyDescent="0.25">
      <c r="A7" t="s">
        <v>1385</v>
      </c>
      <c r="D7" s="316">
        <v>0</v>
      </c>
      <c r="J7" s="5" t="s">
        <v>1278</v>
      </c>
      <c r="M7" s="506" t="str">
        <f>Map!I5</f>
        <v>Operation #1 not acceptable</v>
      </c>
      <c r="N7" s="506"/>
      <c r="O7" s="506"/>
      <c r="P7" s="506"/>
      <c r="Q7" s="506"/>
      <c r="R7" s="506"/>
    </row>
    <row r="8" spans="1:18" x14ac:dyDescent="0.25">
      <c r="A8" t="s">
        <v>1397</v>
      </c>
      <c r="D8" s="316" t="s">
        <v>1398</v>
      </c>
      <c r="M8" s="257"/>
    </row>
    <row r="9" spans="1:18" ht="17.25" x14ac:dyDescent="0.3">
      <c r="A9" t="s">
        <v>1400</v>
      </c>
      <c r="D9" s="316">
        <v>25</v>
      </c>
      <c r="J9" s="5" t="s">
        <v>1373</v>
      </c>
      <c r="K9" s="5"/>
      <c r="L9" s="5"/>
      <c r="M9" s="332" t="str">
        <f ca="1">Map!AG11</f>
        <v/>
      </c>
    </row>
    <row r="10" spans="1:18" x14ac:dyDescent="0.25">
      <c r="A10" t="s">
        <v>1401</v>
      </c>
      <c r="D10" s="316" t="s">
        <v>2662</v>
      </c>
    </row>
    <row r="11" spans="1:18" x14ac:dyDescent="0.25">
      <c r="A11" t="s">
        <v>1402</v>
      </c>
      <c r="D11" s="316">
        <v>1</v>
      </c>
      <c r="J11" s="5" t="s">
        <v>1372</v>
      </c>
    </row>
    <row r="12" spans="1:18" x14ac:dyDescent="0.25">
      <c r="A12" t="s">
        <v>1404</v>
      </c>
      <c r="D12" s="316" t="s">
        <v>1398</v>
      </c>
      <c r="K12" s="312" t="s">
        <v>1252</v>
      </c>
      <c r="L12" s="312"/>
      <c r="M12" s="313" t="str">
        <f ca="1">Map!AG17</f>
        <v/>
      </c>
      <c r="O12" s="312" t="s">
        <v>1227</v>
      </c>
      <c r="P12" s="312"/>
      <c r="Q12" s="313" t="str">
        <f ca="1">Map!AG70</f>
        <v/>
      </c>
    </row>
    <row r="13" spans="1:18" x14ac:dyDescent="0.25">
      <c r="D13" s="301"/>
      <c r="K13" s="225" t="s">
        <v>1253</v>
      </c>
      <c r="L13" s="225"/>
      <c r="M13" s="314" t="str">
        <f ca="1">Map!AG19</f>
        <v/>
      </c>
      <c r="O13" s="225" t="s">
        <v>1228</v>
      </c>
      <c r="P13" s="225"/>
      <c r="Q13" s="314" t="str">
        <f ca="1">Map!AG71</f>
        <v/>
      </c>
    </row>
    <row r="14" spans="1:18" x14ac:dyDescent="0.25">
      <c r="D14" s="301"/>
      <c r="K14" s="225" t="s">
        <v>1254</v>
      </c>
      <c r="L14" s="225"/>
      <c r="M14" s="314" t="str">
        <f ca="1">Map!AG20</f>
        <v/>
      </c>
      <c r="O14" s="225" t="s">
        <v>1229</v>
      </c>
      <c r="P14" s="225"/>
      <c r="Q14" s="314" t="str">
        <f ca="1">Map!AG72</f>
        <v/>
      </c>
    </row>
    <row r="15" spans="1:18" x14ac:dyDescent="0.25">
      <c r="A15" s="5" t="s">
        <v>2525</v>
      </c>
      <c r="K15" s="225" t="s">
        <v>1255</v>
      </c>
      <c r="L15" s="225"/>
      <c r="M15" s="314" t="str">
        <f ca="1">Map!AG21</f>
        <v/>
      </c>
      <c r="O15" s="225" t="s">
        <v>1230</v>
      </c>
      <c r="P15" s="225"/>
      <c r="Q15" s="314" t="str">
        <f ca="1">Map!AG73</f>
        <v/>
      </c>
    </row>
    <row r="16" spans="1:18" ht="15.75" thickBot="1" x14ac:dyDescent="0.3">
      <c r="A16" s="268"/>
      <c r="B16" s="268" t="s">
        <v>348</v>
      </c>
      <c r="C16" s="268" t="s">
        <v>1104</v>
      </c>
      <c r="D16" s="268" t="s">
        <v>1377</v>
      </c>
      <c r="E16" s="330" t="s">
        <v>1376</v>
      </c>
      <c r="F16" s="330" t="s">
        <v>1375</v>
      </c>
      <c r="G16" s="330" t="s">
        <v>1374</v>
      </c>
      <c r="K16" s="225" t="s">
        <v>1256</v>
      </c>
      <c r="L16" s="225"/>
      <c r="M16" s="314" t="str">
        <f ca="1">Map!AG22</f>
        <v/>
      </c>
      <c r="O16" s="225" t="s">
        <v>1231</v>
      </c>
      <c r="P16" s="225"/>
      <c r="Q16" s="314" t="str">
        <f ca="1">Map!AG74</f>
        <v/>
      </c>
    </row>
    <row r="17" spans="1:17" x14ac:dyDescent="0.25">
      <c r="A17" s="221">
        <v>1</v>
      </c>
      <c r="B17" s="221" t="s">
        <v>2867</v>
      </c>
      <c r="C17" s="221" t="s">
        <v>1563</v>
      </c>
      <c r="D17" s="319">
        <v>99000</v>
      </c>
      <c r="E17" s="331">
        <v>1</v>
      </c>
      <c r="F17" s="331"/>
      <c r="G17" s="331"/>
      <c r="K17" s="225" t="s">
        <v>1257</v>
      </c>
      <c r="L17" s="225"/>
      <c r="M17" s="314" t="str">
        <f ca="1">Map!AG23</f>
        <v/>
      </c>
      <c r="O17" s="225" t="s">
        <v>1232</v>
      </c>
      <c r="P17" s="225"/>
      <c r="Q17" s="314" t="str">
        <f ca="1">Map!AG75</f>
        <v/>
      </c>
    </row>
    <row r="18" spans="1:17" x14ac:dyDescent="0.25">
      <c r="A18" s="225">
        <v>2</v>
      </c>
      <c r="B18" s="225" t="s">
        <v>2868</v>
      </c>
      <c r="C18" s="225" t="s">
        <v>1538</v>
      </c>
      <c r="D18" s="320">
        <v>120000</v>
      </c>
      <c r="E18" s="228">
        <v>0.95</v>
      </c>
      <c r="F18" s="228">
        <v>0.05</v>
      </c>
      <c r="G18" s="228"/>
      <c r="K18" s="225" t="s">
        <v>1258</v>
      </c>
      <c r="L18" s="225"/>
      <c r="M18" s="314" t="str">
        <f ca="1">Map!AG24</f>
        <v/>
      </c>
      <c r="O18" s="225" t="s">
        <v>1233</v>
      </c>
      <c r="P18" s="225"/>
      <c r="Q18" s="314" t="str">
        <f ca="1">Map!AG77</f>
        <v/>
      </c>
    </row>
    <row r="19" spans="1:17" x14ac:dyDescent="0.25">
      <c r="A19" s="225">
        <v>3</v>
      </c>
      <c r="B19" s="225"/>
      <c r="C19" s="225"/>
      <c r="D19" s="320"/>
      <c r="E19" s="228"/>
      <c r="F19" s="228"/>
      <c r="G19" s="228"/>
      <c r="K19" s="225" t="s">
        <v>1259</v>
      </c>
      <c r="L19" s="225"/>
      <c r="M19" s="314" t="str">
        <f ca="1">Map!AG25</f>
        <v/>
      </c>
      <c r="O19" s="225" t="s">
        <v>1234</v>
      </c>
      <c r="P19" s="225"/>
      <c r="Q19" s="314" t="str">
        <f ca="1">Map!AG78</f>
        <v/>
      </c>
    </row>
    <row r="20" spans="1:17" x14ac:dyDescent="0.25">
      <c r="A20" s="225">
        <v>4</v>
      </c>
      <c r="B20" s="225"/>
      <c r="C20" s="225"/>
      <c r="D20" s="320"/>
      <c r="E20" s="228"/>
      <c r="F20" s="228"/>
      <c r="G20" s="228"/>
      <c r="K20" s="225" t="s">
        <v>1260</v>
      </c>
      <c r="L20" s="225"/>
      <c r="M20" s="314" t="str">
        <f ca="1">Map!AG26</f>
        <v/>
      </c>
      <c r="O20" s="225" t="s">
        <v>1235</v>
      </c>
      <c r="P20" s="225"/>
      <c r="Q20" s="314" t="str">
        <f ca="1">Map!AG79</f>
        <v/>
      </c>
    </row>
    <row r="21" spans="1:17" x14ac:dyDescent="0.25">
      <c r="A21" s="225">
        <v>5</v>
      </c>
      <c r="B21" s="225"/>
      <c r="C21" s="225"/>
      <c r="D21" s="320"/>
      <c r="E21" s="226"/>
      <c r="F21" s="226"/>
      <c r="G21" s="226"/>
      <c r="K21" s="225" t="s">
        <v>1110</v>
      </c>
      <c r="L21" s="225"/>
      <c r="M21" s="314" t="str">
        <f ca="1">Map!AG27</f>
        <v/>
      </c>
      <c r="O21" s="225" t="s">
        <v>1236</v>
      </c>
      <c r="P21" s="225"/>
      <c r="Q21" s="314" t="str">
        <f ca="1">Map!AG80</f>
        <v/>
      </c>
    </row>
    <row r="22" spans="1:17" x14ac:dyDescent="0.25">
      <c r="K22" s="225" t="s">
        <v>1261</v>
      </c>
      <c r="L22" s="225"/>
      <c r="M22" s="314" t="str">
        <f ca="1">Map!AG28</f>
        <v/>
      </c>
      <c r="O22" s="225" t="s">
        <v>1237</v>
      </c>
      <c r="P22" s="225"/>
      <c r="Q22" s="314" t="str">
        <f ca="1">Map!AG81</f>
        <v/>
      </c>
    </row>
    <row r="23" spans="1:17" x14ac:dyDescent="0.25">
      <c r="A23" t="s">
        <v>1371</v>
      </c>
      <c r="D23" s="321">
        <v>2000000</v>
      </c>
      <c r="K23" s="225" t="s">
        <v>1262</v>
      </c>
      <c r="L23" s="225"/>
      <c r="M23" s="314" t="str">
        <f ca="1">Map!AG29</f>
        <v/>
      </c>
      <c r="O23" s="225" t="s">
        <v>1238</v>
      </c>
      <c r="P23" s="225"/>
      <c r="Q23" s="314" t="str">
        <f ca="1">Map!AG82</f>
        <v/>
      </c>
    </row>
    <row r="24" spans="1:17" x14ac:dyDescent="0.25">
      <c r="D24" s="298"/>
      <c r="K24" s="225" t="s">
        <v>1263</v>
      </c>
      <c r="L24" s="225"/>
      <c r="M24" s="314" t="str">
        <f ca="1">Map!AG30</f>
        <v/>
      </c>
      <c r="O24" s="225" t="s">
        <v>1239</v>
      </c>
      <c r="P24" s="225"/>
      <c r="Q24" s="314" t="str">
        <f ca="1">Map!AG83</f>
        <v/>
      </c>
    </row>
    <row r="25" spans="1:17" x14ac:dyDescent="0.25">
      <c r="A25" s="334" t="s">
        <v>1370</v>
      </c>
      <c r="D25" s="298"/>
      <c r="K25" s="225" t="s">
        <v>1264</v>
      </c>
      <c r="L25" s="225"/>
      <c r="M25" s="314" t="str">
        <f ca="1">Map!AG31</f>
        <v/>
      </c>
      <c r="O25" s="225" t="s">
        <v>1240</v>
      </c>
      <c r="P25" s="225"/>
      <c r="Q25" s="314" t="str">
        <f ca="1">Map!AG84</f>
        <v/>
      </c>
    </row>
    <row r="26" spans="1:17" x14ac:dyDescent="0.25">
      <c r="A26" t="s">
        <v>1411</v>
      </c>
      <c r="D26" s="316" t="s">
        <v>1114</v>
      </c>
      <c r="K26" s="225" t="s">
        <v>1215</v>
      </c>
      <c r="L26" s="225"/>
      <c r="M26" s="314" t="str">
        <f ca="1">Map!AG32</f>
        <v/>
      </c>
      <c r="O26" s="225" t="s">
        <v>1241</v>
      </c>
      <c r="P26" s="225"/>
      <c r="Q26" s="314" t="str">
        <f ca="1">Map!AG85</f>
        <v/>
      </c>
    </row>
    <row r="27" spans="1:17" x14ac:dyDescent="0.25">
      <c r="A27" t="s">
        <v>1369</v>
      </c>
      <c r="D27" s="316" t="s">
        <v>2662</v>
      </c>
      <c r="K27" s="225" t="s">
        <v>2663</v>
      </c>
      <c r="L27" s="225"/>
      <c r="M27" s="314" t="str">
        <f ca="1">Map!AG34</f>
        <v/>
      </c>
      <c r="O27" s="225" t="s">
        <v>1242</v>
      </c>
      <c r="P27" s="225"/>
      <c r="Q27" s="314" t="str">
        <f ca="1">Map!AG86</f>
        <v/>
      </c>
    </row>
    <row r="28" spans="1:17" x14ac:dyDescent="0.25">
      <c r="A28" t="s">
        <v>2576</v>
      </c>
      <c r="D28" s="316" t="s">
        <v>1353</v>
      </c>
      <c r="K28" s="225" t="s">
        <v>1216</v>
      </c>
      <c r="L28" s="225"/>
      <c r="M28" s="314" t="str">
        <f ca="1">Map!AG36</f>
        <v/>
      </c>
      <c r="O28" s="225" t="s">
        <v>1243</v>
      </c>
      <c r="P28" s="225"/>
      <c r="Q28" s="314" t="str">
        <f ca="1">Map!AG87</f>
        <v/>
      </c>
    </row>
    <row r="29" spans="1:17" x14ac:dyDescent="0.25">
      <c r="A29" t="s">
        <v>2577</v>
      </c>
      <c r="D29" s="316" t="s">
        <v>2541</v>
      </c>
      <c r="K29" s="225" t="s">
        <v>2869</v>
      </c>
      <c r="L29" s="225"/>
      <c r="M29" s="314" t="str">
        <f ca="1">Map!AG37</f>
        <v/>
      </c>
      <c r="O29" s="225" t="s">
        <v>1244</v>
      </c>
      <c r="P29" s="225"/>
      <c r="Q29" s="314" t="str">
        <f ca="1">Map!AG88</f>
        <v/>
      </c>
    </row>
    <row r="30" spans="1:17" x14ac:dyDescent="0.25">
      <c r="A30" t="s">
        <v>1368</v>
      </c>
      <c r="D30" s="316" t="s">
        <v>2643</v>
      </c>
      <c r="K30" s="225" t="s">
        <v>1217</v>
      </c>
      <c r="L30" s="225"/>
      <c r="M30" s="314" t="str">
        <f ca="1">Map!AG39</f>
        <v/>
      </c>
      <c r="O30" s="225" t="s">
        <v>1245</v>
      </c>
      <c r="P30" s="225"/>
      <c r="Q30" s="314" t="str">
        <f ca="1">Map!AG89</f>
        <v/>
      </c>
    </row>
    <row r="31" spans="1:17" x14ac:dyDescent="0.25">
      <c r="A31" t="s">
        <v>2645</v>
      </c>
      <c r="D31" s="316" t="s">
        <v>1114</v>
      </c>
      <c r="K31" s="225" t="s">
        <v>1147</v>
      </c>
      <c r="L31" s="225"/>
      <c r="M31" s="314" t="str">
        <f ca="1">Map!AG42</f>
        <v/>
      </c>
      <c r="O31" s="225" t="s">
        <v>1246</v>
      </c>
      <c r="P31" s="225"/>
      <c r="Q31" s="314" t="str">
        <f ca="1">Map!AG90</f>
        <v/>
      </c>
    </row>
    <row r="32" spans="1:17" x14ac:dyDescent="0.25">
      <c r="A32" t="s">
        <v>2572</v>
      </c>
      <c r="D32" s="316" t="s">
        <v>2526</v>
      </c>
      <c r="K32" s="225" t="s">
        <v>1148</v>
      </c>
      <c r="L32" s="225"/>
      <c r="M32" s="314" t="str">
        <f ca="1">Map!AG43</f>
        <v/>
      </c>
      <c r="O32" s="225" t="s">
        <v>1247</v>
      </c>
      <c r="P32" s="225"/>
      <c r="Q32" s="314" t="str">
        <f ca="1">Map!AG91</f>
        <v/>
      </c>
    </row>
    <row r="33" spans="1:17" x14ac:dyDescent="0.25">
      <c r="A33" s="282" t="s">
        <v>2573</v>
      </c>
      <c r="D33" s="316" t="s">
        <v>427</v>
      </c>
      <c r="K33" s="225" t="s">
        <v>1140</v>
      </c>
      <c r="L33" s="225"/>
      <c r="M33" s="314" t="str">
        <f ca="1">Map!AG44</f>
        <v/>
      </c>
      <c r="O33" s="225" t="s">
        <v>1248</v>
      </c>
      <c r="P33" s="225"/>
      <c r="Q33" s="314" t="str">
        <f ca="1">Map!AG92</f>
        <v/>
      </c>
    </row>
    <row r="34" spans="1:17" x14ac:dyDescent="0.25">
      <c r="A34" t="s">
        <v>1366</v>
      </c>
      <c r="D34" s="316" t="s">
        <v>2546</v>
      </c>
      <c r="K34" s="225" t="s">
        <v>1141</v>
      </c>
      <c r="L34" s="225"/>
      <c r="M34" s="314" t="str">
        <f ca="1">Map!AG45</f>
        <v/>
      </c>
      <c r="O34" s="225" t="s">
        <v>1249</v>
      </c>
      <c r="P34" s="225"/>
      <c r="Q34" s="314" t="str">
        <f ca="1">Map!AG93</f>
        <v/>
      </c>
    </row>
    <row r="35" spans="1:17" x14ac:dyDescent="0.25">
      <c r="A35" s="282" t="s">
        <v>1406</v>
      </c>
      <c r="D35" s="316" t="s">
        <v>1413</v>
      </c>
      <c r="K35" s="225" t="s">
        <v>2807</v>
      </c>
      <c r="L35" s="225"/>
      <c r="M35" s="314" t="str">
        <f ca="1">Map!AG46</f>
        <v/>
      </c>
      <c r="O35" s="225" t="s">
        <v>1250</v>
      </c>
      <c r="P35" s="225"/>
      <c r="Q35" s="314" t="str">
        <f ca="1">Map!AG95</f>
        <v/>
      </c>
    </row>
    <row r="36" spans="1:17" x14ac:dyDescent="0.25">
      <c r="A36" t="s">
        <v>2558</v>
      </c>
      <c r="D36" s="316" t="s">
        <v>2563</v>
      </c>
      <c r="K36" s="225" t="s">
        <v>1144</v>
      </c>
      <c r="L36" s="225"/>
      <c r="M36" s="315" t="str">
        <f ca="1">Map!AG47</f>
        <v/>
      </c>
      <c r="O36" s="225" t="s">
        <v>1251</v>
      </c>
      <c r="P36" s="225"/>
      <c r="Q36" s="314" t="str">
        <f ca="1">Map!AG96</f>
        <v/>
      </c>
    </row>
    <row r="37" spans="1:17" x14ac:dyDescent="0.25">
      <c r="A37" s="282" t="s">
        <v>2451</v>
      </c>
      <c r="D37" s="316">
        <v>15</v>
      </c>
      <c r="K37" s="225" t="s">
        <v>2806</v>
      </c>
      <c r="L37" s="225"/>
      <c r="M37" s="314" t="str">
        <f ca="1">Map!AG48</f>
        <v/>
      </c>
      <c r="O37" s="225" t="s">
        <v>1175</v>
      </c>
      <c r="P37" s="225"/>
      <c r="Q37" s="314" t="str">
        <f ca="1">Map!AG97</f>
        <v/>
      </c>
    </row>
    <row r="38" spans="1:17" x14ac:dyDescent="0.25">
      <c r="A38" s="282" t="s">
        <v>2456</v>
      </c>
      <c r="D38" s="316" t="s">
        <v>1398</v>
      </c>
      <c r="K38" s="225" t="s">
        <v>568</v>
      </c>
      <c r="L38" s="225"/>
      <c r="M38" s="314" t="str">
        <f ca="1">Map!AG50</f>
        <v/>
      </c>
      <c r="O38" s="225" t="s">
        <v>1180</v>
      </c>
      <c r="P38" s="225"/>
      <c r="Q38" s="314" t="str">
        <f ca="1">Map!AG98</f>
        <v/>
      </c>
    </row>
    <row r="39" spans="1:17" x14ac:dyDescent="0.25">
      <c r="A39" s="282" t="s">
        <v>1409</v>
      </c>
      <c r="D39" s="316" t="s">
        <v>2548</v>
      </c>
      <c r="K39" s="225" t="s">
        <v>629</v>
      </c>
      <c r="L39" s="225"/>
      <c r="M39" s="314" t="str">
        <f ca="1">Map!AG51</f>
        <v/>
      </c>
      <c r="O39" s="225" t="s">
        <v>1218</v>
      </c>
      <c r="P39" s="225"/>
      <c r="Q39" s="314" t="str">
        <f ca="1">Map!AG99</f>
        <v/>
      </c>
    </row>
    <row r="40" spans="1:17" x14ac:dyDescent="0.25">
      <c r="A40" s="282" t="s">
        <v>2594</v>
      </c>
      <c r="D40" s="316" t="s">
        <v>1398</v>
      </c>
      <c r="K40" s="225" t="s">
        <v>1153</v>
      </c>
      <c r="L40" s="225"/>
      <c r="M40" s="314" t="str">
        <f ca="1">Map!AG52</f>
        <v/>
      </c>
      <c r="O40" s="225" t="s">
        <v>1271</v>
      </c>
      <c r="P40" s="225"/>
      <c r="Q40" s="314" t="str">
        <f ca="1">Map!AG100</f>
        <v/>
      </c>
    </row>
    <row r="41" spans="1:17" x14ac:dyDescent="0.25">
      <c r="A41" s="282" t="s">
        <v>2595</v>
      </c>
      <c r="D41" s="316" t="s">
        <v>1398</v>
      </c>
      <c r="K41" s="225" t="s">
        <v>1162</v>
      </c>
      <c r="L41" s="225"/>
      <c r="M41" s="314" t="str">
        <f ca="1">Map!AG53</f>
        <v/>
      </c>
      <c r="O41" s="225" t="s">
        <v>1219</v>
      </c>
      <c r="P41" s="225"/>
      <c r="Q41" s="314" t="str">
        <f ca="1">Map!AG101</f>
        <v/>
      </c>
    </row>
    <row r="42" spans="1:17" x14ac:dyDescent="0.25">
      <c r="A42" t="s">
        <v>2450</v>
      </c>
      <c r="D42" s="316">
        <v>2</v>
      </c>
      <c r="K42" s="225" t="s">
        <v>1163</v>
      </c>
      <c r="L42" s="225"/>
      <c r="M42" s="314" t="str">
        <f ca="1">Map!AG54</f>
        <v/>
      </c>
      <c r="O42" s="225" t="s">
        <v>2604</v>
      </c>
      <c r="P42" s="225"/>
      <c r="Q42" s="314" t="str">
        <f ca="1">Map!AG102</f>
        <v/>
      </c>
    </row>
    <row r="43" spans="1:17" x14ac:dyDescent="0.25">
      <c r="A43" t="s">
        <v>1367</v>
      </c>
      <c r="D43" s="316" t="s">
        <v>1398</v>
      </c>
      <c r="K43" s="225" t="s">
        <v>1164</v>
      </c>
      <c r="L43" s="225"/>
      <c r="M43" s="314" t="str">
        <f ca="1">Map!AG55</f>
        <v/>
      </c>
      <c r="O43" s="225" t="s">
        <v>2605</v>
      </c>
      <c r="P43" s="225"/>
      <c r="Q43" s="314" t="str">
        <f ca="1">Map!AG103</f>
        <v/>
      </c>
    </row>
    <row r="44" spans="1:17" x14ac:dyDescent="0.25">
      <c r="A44" t="s">
        <v>2570</v>
      </c>
      <c r="D44" s="316" t="s">
        <v>1398</v>
      </c>
      <c r="K44" s="225" t="s">
        <v>1165</v>
      </c>
      <c r="L44" s="225"/>
      <c r="M44" s="314" t="str">
        <f ca="1">Map!AG56</f>
        <v/>
      </c>
      <c r="O44" s="225" t="s">
        <v>2606</v>
      </c>
      <c r="P44" s="225"/>
      <c r="Q44" s="314" t="str">
        <f ca="1">Map!AG104</f>
        <v/>
      </c>
    </row>
    <row r="45" spans="1:17" x14ac:dyDescent="0.25">
      <c r="A45" t="s">
        <v>2571</v>
      </c>
      <c r="D45" s="316" t="s">
        <v>2568</v>
      </c>
      <c r="K45" s="225" t="s">
        <v>1220</v>
      </c>
      <c r="L45" s="225"/>
      <c r="M45" s="314" t="str">
        <f ca="1">Map!AG63</f>
        <v/>
      </c>
      <c r="O45" s="225" t="s">
        <v>2607</v>
      </c>
      <c r="P45" s="225"/>
      <c r="Q45" s="314" t="str">
        <f ca="1">Map!AG105</f>
        <v/>
      </c>
    </row>
    <row r="46" spans="1:17" x14ac:dyDescent="0.25">
      <c r="D46" s="301"/>
      <c r="K46" s="225" t="s">
        <v>1221</v>
      </c>
      <c r="L46" s="225"/>
      <c r="M46" s="314" t="str">
        <f ca="1">Map!AG64</f>
        <v/>
      </c>
      <c r="O46" s="225" t="s">
        <v>2608</v>
      </c>
      <c r="P46" s="225"/>
      <c r="Q46" s="314" t="str">
        <f ca="1">Map!AG106</f>
        <v/>
      </c>
    </row>
    <row r="47" spans="1:17" x14ac:dyDescent="0.25">
      <c r="A47" t="s">
        <v>1215</v>
      </c>
      <c r="D47" s="321">
        <v>150000</v>
      </c>
      <c r="K47" s="225" t="s">
        <v>1222</v>
      </c>
      <c r="L47" s="225"/>
      <c r="M47" s="314" t="str">
        <f ca="1">Map!AG65</f>
        <v/>
      </c>
      <c r="O47" s="225" t="s">
        <v>2609</v>
      </c>
      <c r="P47" s="225"/>
      <c r="Q47" s="314" t="str">
        <f ca="1">Map!AG107</f>
        <v/>
      </c>
    </row>
    <row r="48" spans="1:17" x14ac:dyDescent="0.25">
      <c r="A48" t="s">
        <v>1300</v>
      </c>
      <c r="D48" s="321">
        <v>20000</v>
      </c>
      <c r="K48" s="225" t="s">
        <v>1223</v>
      </c>
      <c r="L48" s="225"/>
      <c r="M48" s="314" t="str">
        <f ca="1">Map!AG66</f>
        <v/>
      </c>
      <c r="O48" s="225" t="s">
        <v>2610</v>
      </c>
      <c r="P48" s="225"/>
      <c r="Q48" s="314" t="str">
        <f ca="1">Map!AG108</f>
        <v/>
      </c>
    </row>
    <row r="49" spans="1:17" x14ac:dyDescent="0.25">
      <c r="A49" t="s">
        <v>1365</v>
      </c>
      <c r="D49" s="321">
        <v>0</v>
      </c>
      <c r="K49" s="225" t="s">
        <v>1224</v>
      </c>
      <c r="L49" s="225"/>
      <c r="M49" s="314" t="str">
        <f ca="1">Map!AG67</f>
        <v/>
      </c>
      <c r="O49" s="225" t="s">
        <v>2611</v>
      </c>
      <c r="P49" s="225"/>
      <c r="Q49" s="314" t="str">
        <f ca="1">Map!AG109</f>
        <v/>
      </c>
    </row>
    <row r="50" spans="1:17" x14ac:dyDescent="0.25">
      <c r="A50" t="s">
        <v>1301</v>
      </c>
      <c r="D50" s="321">
        <v>5000</v>
      </c>
      <c r="K50" s="225" t="s">
        <v>1225</v>
      </c>
      <c r="L50" s="225"/>
      <c r="M50" s="314" t="str">
        <f ca="1">Map!AG68</f>
        <v/>
      </c>
      <c r="O50" s="225" t="s">
        <v>2612</v>
      </c>
      <c r="P50" s="225"/>
      <c r="Q50" s="314" t="str">
        <f ca="1">Map!AG110</f>
        <v/>
      </c>
    </row>
    <row r="51" spans="1:17" x14ac:dyDescent="0.25">
      <c r="A51" t="s">
        <v>1364</v>
      </c>
      <c r="D51" s="321">
        <v>25000</v>
      </c>
      <c r="K51" s="225" t="s">
        <v>1226</v>
      </c>
      <c r="L51" s="225"/>
      <c r="M51" s="314" t="str">
        <f ca="1">Map!AG69</f>
        <v/>
      </c>
      <c r="O51" s="225" t="s">
        <v>2613</v>
      </c>
      <c r="P51" s="225"/>
      <c r="Q51" s="314" t="str">
        <f ca="1">Map!AG111</f>
        <v/>
      </c>
    </row>
    <row r="52" spans="1:17" x14ac:dyDescent="0.25">
      <c r="A52" t="s">
        <v>1363</v>
      </c>
      <c r="D52" s="321">
        <v>10000</v>
      </c>
      <c r="O52" s="225" t="s">
        <v>2614</v>
      </c>
      <c r="P52" s="225"/>
      <c r="Q52" s="314" t="str">
        <f ca="1">Map!AG112</f>
        <v/>
      </c>
    </row>
    <row r="53" spans="1:17" x14ac:dyDescent="0.25">
      <c r="A53" t="s">
        <v>1362</v>
      </c>
      <c r="D53" s="321">
        <v>1000</v>
      </c>
      <c r="O53" s="225" t="s">
        <v>2615</v>
      </c>
      <c r="P53" s="225"/>
      <c r="Q53" s="314" t="str">
        <f ca="1">Map!AG113</f>
        <v/>
      </c>
    </row>
    <row r="54" spans="1:17" x14ac:dyDescent="0.25">
      <c r="A54" t="s">
        <v>1361</v>
      </c>
      <c r="D54" s="321">
        <v>0</v>
      </c>
      <c r="O54" s="225" t="s">
        <v>2616</v>
      </c>
      <c r="P54" s="225"/>
      <c r="Q54" s="314" t="str">
        <f ca="1">Map!AG114</f>
        <v/>
      </c>
    </row>
    <row r="55" spans="1:17" x14ac:dyDescent="0.25">
      <c r="A55" t="s">
        <v>1360</v>
      </c>
      <c r="D55" s="316" t="s">
        <v>1062</v>
      </c>
    </row>
    <row r="56" spans="1:17" x14ac:dyDescent="0.25">
      <c r="A56" t="s">
        <v>1359</v>
      </c>
      <c r="D56" s="316" t="s">
        <v>1062</v>
      </c>
    </row>
    <row r="57" spans="1:17" x14ac:dyDescent="0.25">
      <c r="A57" t="s">
        <v>2633</v>
      </c>
      <c r="D57" s="316" t="s">
        <v>1062</v>
      </c>
    </row>
    <row r="58" spans="1:17" x14ac:dyDescent="0.25">
      <c r="D58" s="326"/>
    </row>
    <row r="59" spans="1:17" x14ac:dyDescent="0.25">
      <c r="A59" t="s">
        <v>2656</v>
      </c>
      <c r="D59" s="316" t="s">
        <v>2889</v>
      </c>
    </row>
    <row r="61" spans="1:17" x14ac:dyDescent="0.25">
      <c r="A61" t="s">
        <v>2516</v>
      </c>
      <c r="D61" s="321" t="s">
        <v>1062</v>
      </c>
    </row>
    <row r="62" spans="1:17" x14ac:dyDescent="0.25">
      <c r="A62" t="s">
        <v>2517</v>
      </c>
      <c r="D62" s="321">
        <v>50000</v>
      </c>
    </row>
    <row r="63" spans="1:17" x14ac:dyDescent="0.25">
      <c r="A63" t="s">
        <v>2518</v>
      </c>
      <c r="D63" s="321">
        <v>100000</v>
      </c>
    </row>
  </sheetData>
  <mergeCells count="1">
    <mergeCell ref="M7:R7"/>
  </mergeCells>
  <conditionalFormatting sqref="M6">
    <cfRule type="cellIs" dxfId="9" priority="1" operator="equal">
      <formula>""""""</formula>
    </cfRule>
    <cfRule type="cellIs" dxfId="8" priority="2" operator="equal">
      <formula>"Decline"</formula>
    </cfRule>
    <cfRule type="cellIs" dxfId="7" priority="3" operator="equal">
      <formula>"Refer"</formula>
    </cfRule>
    <cfRule type="cellIs" dxfId="6" priority="4" operator="equal">
      <formula>"Quote"</formula>
    </cfRule>
  </conditionalFormatting>
  <dataValidations count="1">
    <dataValidation type="list" allowBlank="1" showInputMessage="1" showErrorMessage="1" sqref="D59" xr:uid="{F736BCCB-1043-4D7C-915E-2203D0CEBBA4}">
      <formula1>"Essential, Better, Ultimate"</formula1>
    </dataValidation>
  </dataValidations>
  <pageMargins left="0.7" right="0.7" top="0.75" bottom="0.75" header="0.3" footer="0.3"/>
  <pageSetup orientation="portrait" verticalDpi="597" r:id="rId1"/>
  <drawing r:id="rId2"/>
  <legacyDrawing r:id="rId3"/>
  <controls>
    <mc:AlternateContent xmlns:mc="http://schemas.openxmlformats.org/markup-compatibility/2006">
      <mc:Choice Requires="x14">
        <control shapeId="19479" r:id="rId4" name="addTrade">
          <controlPr defaultSize="0" autoLine="0" autoPict="0" r:id="rId5">
            <anchor moveWithCells="1">
              <from>
                <xdr:col>7</xdr:col>
                <xdr:colOff>66675</xdr:colOff>
                <xdr:row>15</xdr:row>
                <xdr:rowOff>171450</xdr:rowOff>
              </from>
              <to>
                <xdr:col>7</xdr:col>
                <xdr:colOff>552450</xdr:colOff>
                <xdr:row>21</xdr:row>
                <xdr:rowOff>38100</xdr:rowOff>
              </to>
            </anchor>
          </controlPr>
        </control>
      </mc:Choice>
      <mc:Fallback>
        <control shapeId="19479" r:id="rId4" name="addTrade"/>
      </mc:Fallback>
    </mc:AlternateContent>
    <mc:AlternateContent xmlns:mc="http://schemas.openxmlformats.org/markup-compatibility/2006">
      <mc:Choice Requires="x14">
        <control shapeId="19531" r:id="rId6" name="CommandButton1">
          <controlPr defaultSize="0" autoLine="0" autoPict="0" r:id="rId7">
            <anchor moveWithCells="1">
              <from>
                <xdr:col>3</xdr:col>
                <xdr:colOff>2066925</xdr:colOff>
                <xdr:row>2</xdr:row>
                <xdr:rowOff>152400</xdr:rowOff>
              </from>
              <to>
                <xdr:col>5</xdr:col>
                <xdr:colOff>428625</xdr:colOff>
                <xdr:row>3</xdr:row>
                <xdr:rowOff>104775</xdr:rowOff>
              </to>
            </anchor>
          </controlPr>
        </control>
      </mc:Choice>
      <mc:Fallback>
        <control shapeId="19531" r:id="rId6" name="CommandButton1"/>
      </mc:Fallback>
    </mc:AlternateContent>
  </controls>
  <extLst>
    <ext xmlns:x14="http://schemas.microsoft.com/office/spreadsheetml/2009/9/main" uri="{CCE6A557-97BC-4b89-ADB6-D9C93CAAB3DF}">
      <x14:dataValidations xmlns:xm="http://schemas.microsoft.com/office/excel/2006/main" count="6">
        <x14:dataValidation type="list" allowBlank="1" showInputMessage="1" showErrorMessage="1" xr:uid="{DED51158-58F6-495D-B4C6-6C09F9956BE8}">
          <x14:formula1>
            <xm:f>Drops!$A$4:$A$8</xm:f>
          </x14:formula1>
          <xm:sqref>D23</xm:sqref>
        </x14:dataValidation>
        <x14:dataValidation type="list" allowBlank="1" showInputMessage="1" showErrorMessage="1" xr:uid="{E55B355B-40BB-4582-ABEF-AB7EBA657F31}">
          <x14:formula1>
            <xm:f>Drops!$C$4:$C$5</xm:f>
          </x14:formula1>
          <xm:sqref>D12 D8</xm:sqref>
        </x14:dataValidation>
        <x14:dataValidation type="list" allowBlank="1" showInputMessage="1" showErrorMessage="1" xr:uid="{EBFF136E-19AE-4166-9F9B-7636CB3780FB}">
          <x14:formula1>
            <xm:f>Drops!$E$4:$E$12</xm:f>
          </x14:formula1>
          <xm:sqref>D61:D63</xm:sqref>
        </x14:dataValidation>
        <x14:dataValidation type="list" allowBlank="1" showInputMessage="1" showErrorMessage="1" xr:uid="{A0933297-D16E-41B4-AC85-D47B622D74A2}">
          <x14:formula1>
            <xm:f>Drops!$G$4:$G$8</xm:f>
          </x14:formula1>
          <xm:sqref>D56</xm:sqref>
        </x14:dataValidation>
        <x14:dataValidation type="list" allowBlank="1" showInputMessage="1" showErrorMessage="1" xr:uid="{8D89CF87-9797-4449-A870-7B1666BE90B1}">
          <x14:formula1>
            <xm:f>Drops!$A$31:$A$32</xm:f>
          </x14:formula1>
          <xm:sqref>D55</xm:sqref>
        </x14:dataValidation>
        <x14:dataValidation type="list" allowBlank="1" showInputMessage="1" showErrorMessage="1" xr:uid="{244B3011-D7F0-4F9D-8DF1-6D8976B65F66}">
          <x14:formula1>
            <xm:f>Drops!$C$31:$C$34</xm:f>
          </x14:formula1>
          <xm:sqref>D57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1">
    <tabColor theme="4"/>
  </sheetPr>
  <dimension ref="A1:AM368"/>
  <sheetViews>
    <sheetView tabSelected="1" zoomScale="115" zoomScaleNormal="115" workbookViewId="0">
      <selection activeCell="B5" sqref="B5"/>
    </sheetView>
  </sheetViews>
  <sheetFormatPr defaultRowHeight="15" outlineLevelCol="1" x14ac:dyDescent="0.25"/>
  <cols>
    <col min="1" max="1" width="20.7109375" style="460" customWidth="1"/>
    <col min="2" max="2" width="74.85546875" customWidth="1"/>
    <col min="3" max="3" width="28.28515625" style="201" customWidth="1"/>
    <col min="4" max="4" width="3.85546875" style="202" customWidth="1"/>
    <col min="5" max="5" width="54.28515625" customWidth="1"/>
    <col min="6" max="6" width="25.140625" customWidth="1"/>
    <col min="7" max="7" width="22.5703125" customWidth="1"/>
    <col min="8" max="8" width="18" style="185" customWidth="1"/>
    <col min="9" max="9" width="18.5703125" style="185" customWidth="1"/>
    <col min="10" max="10" width="10.140625" style="185" customWidth="1"/>
    <col min="11" max="11" width="9.85546875" style="185" customWidth="1"/>
    <col min="12" max="12" width="11.28515625" style="185" customWidth="1"/>
    <col min="13" max="13" width="18.42578125" customWidth="1"/>
    <col min="14" max="14" width="16.42578125" style="207" customWidth="1"/>
    <col min="15" max="15" width="12.28515625" customWidth="1" outlineLevel="1"/>
    <col min="16" max="16" width="12" customWidth="1" outlineLevel="1"/>
    <col min="17" max="17" width="35" customWidth="1" outlineLevel="1"/>
    <col min="18" max="18" width="33.140625" customWidth="1" outlineLevel="1"/>
    <col min="19" max="19" width="20.7109375" customWidth="1" outlineLevel="1"/>
    <col min="20" max="20" width="26.140625" customWidth="1" outlineLevel="1"/>
    <col min="21" max="21" width="13.85546875" customWidth="1" outlineLevel="1" collapsed="1"/>
    <col min="22" max="22" width="15" customWidth="1" outlineLevel="1"/>
    <col min="23" max="27" width="9.140625" hidden="1" customWidth="1" outlineLevel="1"/>
    <col min="28" max="28" width="9.140625" customWidth="1" outlineLevel="1"/>
    <col min="29" max="29" width="82" style="202" customWidth="1"/>
    <col min="30" max="30" width="32.28515625" style="201" customWidth="1"/>
    <col min="31" max="31" width="51.140625" style="202" customWidth="1"/>
    <col min="32" max="32" width="51.140625" style="277" customWidth="1"/>
    <col min="33" max="33" width="32.28515625" style="207" customWidth="1"/>
    <col min="34" max="34" width="9.42578125" customWidth="1"/>
    <col min="35" max="35" width="46.42578125" customWidth="1"/>
    <col min="36" max="36" width="27.5703125" style="415" customWidth="1"/>
    <col min="37" max="37" width="27.5703125" style="207" customWidth="1"/>
    <col min="38" max="39" width="14.140625" customWidth="1"/>
    <col min="40" max="40" width="16" customWidth="1"/>
  </cols>
  <sheetData>
    <row r="1" spans="1:37" s="197" customFormat="1" ht="23.25" x14ac:dyDescent="0.35">
      <c r="A1" s="487"/>
      <c r="B1" s="187" t="s">
        <v>1000</v>
      </c>
      <c r="C1" s="188"/>
      <c r="D1" s="189" t="s">
        <v>1001</v>
      </c>
      <c r="E1" s="190"/>
      <c r="F1" s="190"/>
      <c r="G1" s="190"/>
      <c r="H1" s="191"/>
      <c r="I1" s="191"/>
      <c r="J1" s="191"/>
      <c r="K1" s="191"/>
      <c r="L1" s="191"/>
      <c r="M1" s="190"/>
      <c r="N1" s="192"/>
      <c r="O1" s="193" t="s">
        <v>1002</v>
      </c>
      <c r="P1" s="193"/>
      <c r="Q1" s="193"/>
      <c r="R1" s="193"/>
      <c r="S1" s="193"/>
      <c r="T1" s="193"/>
      <c r="U1" s="193"/>
      <c r="V1" s="193"/>
      <c r="W1" s="193"/>
      <c r="X1" s="193"/>
      <c r="Y1" s="193"/>
      <c r="Z1" s="193"/>
      <c r="AA1" s="193"/>
      <c r="AB1" s="193"/>
      <c r="AC1" s="194" t="s">
        <v>1003</v>
      </c>
      <c r="AD1" s="293"/>
      <c r="AE1" s="195" t="s">
        <v>2672</v>
      </c>
      <c r="AF1" s="423"/>
      <c r="AG1" s="196"/>
      <c r="AH1" s="197" t="s">
        <v>2667</v>
      </c>
      <c r="AJ1" s="496"/>
      <c r="AK1" s="428"/>
    </row>
    <row r="2" spans="1:37" s="200" customFormat="1" ht="15.75" thickBot="1" x14ac:dyDescent="0.3">
      <c r="A2" s="473"/>
      <c r="B2" s="511" t="s">
        <v>1004</v>
      </c>
      <c r="C2" s="512"/>
      <c r="D2" s="513" t="s">
        <v>1005</v>
      </c>
      <c r="E2" s="514"/>
      <c r="F2" s="514"/>
      <c r="G2" s="514"/>
      <c r="H2" s="514"/>
      <c r="I2" s="514"/>
      <c r="J2" s="514"/>
      <c r="K2" s="514"/>
      <c r="L2" s="514"/>
      <c r="M2" s="514"/>
      <c r="N2" s="515"/>
      <c r="O2" s="198" t="s">
        <v>1006</v>
      </c>
      <c r="P2" s="199"/>
      <c r="Q2" s="199"/>
      <c r="R2" s="199"/>
      <c r="S2" s="199"/>
      <c r="T2" s="199"/>
      <c r="U2" s="199"/>
      <c r="V2" s="199"/>
      <c r="W2" s="199"/>
      <c r="X2" s="199"/>
      <c r="Y2" s="199"/>
      <c r="Z2" s="199"/>
      <c r="AA2" s="199"/>
      <c r="AB2" s="199"/>
      <c r="AC2" s="516" t="s">
        <v>1007</v>
      </c>
      <c r="AD2" s="517"/>
      <c r="AE2" s="518" t="s">
        <v>2665</v>
      </c>
      <c r="AF2" s="519"/>
      <c r="AG2" s="520"/>
      <c r="AH2" s="507" t="s">
        <v>2668</v>
      </c>
      <c r="AI2" s="508"/>
      <c r="AJ2" s="508"/>
      <c r="AK2" s="509"/>
    </row>
    <row r="4" spans="1:37" x14ac:dyDescent="0.25">
      <c r="E4" s="5" t="s">
        <v>1008</v>
      </c>
      <c r="F4" s="5"/>
      <c r="G4" s="203">
        <f ca="1">SUM($J$9:$J$63)</f>
        <v>11</v>
      </c>
      <c r="H4" s="204" t="s">
        <v>1009</v>
      </c>
      <c r="I4" s="205" t="str">
        <f ca="1">IF(G4=0,"Quote",IF(G5=0,"Refer","Decline"))</f>
        <v>Decline</v>
      </c>
      <c r="J4" s="206"/>
      <c r="L4" s="206"/>
      <c r="O4" s="208" t="s">
        <v>1090</v>
      </c>
    </row>
    <row r="5" spans="1:37" ht="15.75" thickBot="1" x14ac:dyDescent="0.3">
      <c r="A5" s="488"/>
      <c r="B5" s="209" t="s">
        <v>1010</v>
      </c>
      <c r="C5" s="210" t="s">
        <v>1011</v>
      </c>
      <c r="E5" s="5" t="s">
        <v>1012</v>
      </c>
      <c r="F5" s="5"/>
      <c r="G5" s="205">
        <f ca="1">SUM($L$9:$L$213)</f>
        <v>6</v>
      </c>
      <c r="H5" s="204" t="s">
        <v>1013</v>
      </c>
      <c r="I5" s="521" t="str">
        <f>IF($M$9&lt;&gt;"",$M$9,IF($M$10&lt;&gt;"",$M$10,IF($M$11&lt;&gt;"",$M$11,IF($M$12&lt;&gt;"",$M$12,IF($M$13&lt;&gt;"",$M$13,IF($M$14&lt;&gt;"",$M$14,IF($M$15&lt;&gt;"",$M$15,IF($M$16&lt;&gt;"",$M$16,IF($M$17&lt;&gt;"",$M$17,IF($M$18&lt;&gt;"",$M$18,IF($M$19&lt;&gt;"",$M$19,IF($M$20&lt;&gt;"",$M$20,IF($M$21&lt;&gt;"",$M$21,IF($M$22&lt;&gt;"",$M$22,IF($M$23&lt;&gt;"",$M$23,IF($M$24&lt;&gt;"",$M$24,IF($M$25&lt;&gt;"",$M$25,IF($M$26&lt;&gt;"",$M$26,IF($M$27&lt;&gt;"",$M$27,IF($M$28&lt;&gt;"",$M$28,IF($M$29&lt;&gt;"",$M$29,IF($M$30&lt;&gt;"",$M$30,IF($M$31&lt;&gt;"",$M$31,IF($M$32&lt;&gt;"",$M$32,IF($M$33&lt;&gt;"",$M$33,IF($M$34&lt;&gt;"",$M$34,IF($M$35&lt;&gt;"",$M$35,IF($M$36&lt;&gt;"",$M$36,IF($M$37&lt;&gt;"",$M$37,IF($M$38&lt;&gt;"",$M$38,IF($M$39&lt;&gt;"",$M$39,IF($M$40&lt;&gt;"",$M$40,IF($M$41&lt;&gt;"",$M$41,IF($M$42&lt;&gt;"",$M$42,IF($M$43&lt;&gt;"",$M$43,IF($M$44&lt;&gt;"",$M$44,IF($M$45&lt;&gt;"",$M$45,IF($M$46&lt;&gt;"",$M$46,IF($M$47&lt;&gt;"",$M$47,IF($M$48&lt;&gt;"",$M$48,IF($M$49&lt;&gt;"",$M$49,IF($M$50&lt;&gt;"",$M$50,IF($M$51&lt;&gt;"",$M$51,IF($M$52&lt;&gt;"",$M$52,IF($M$53&lt;&gt;"",$M$53,IF($M$54&lt;&gt;"",$M$54,IF($M$55&lt;&gt;"",$M$55,IF($M$56&lt;&gt;"",$M$56,IF($M$57&lt;&gt;"",$M$57,IF($M$58&lt;&gt;"",$M$58,IF($M$59&lt;&gt;"",$M$59,IF($M$60&lt;&gt;"",$M$60,IF($M$61&lt;&gt;"",$M$61,"")))))))))))))))))))))))))))))))))))))))))))))))))))))</f>
        <v>Operation #1 not acceptable</v>
      </c>
      <c r="J5" s="521"/>
      <c r="K5" s="521"/>
      <c r="L5" s="521"/>
      <c r="M5" s="521"/>
      <c r="N5" s="522"/>
      <c r="O5" s="211" t="s">
        <v>1014</v>
      </c>
      <c r="P5" s="212" t="s">
        <v>1091</v>
      </c>
      <c r="Q5" s="212" t="s">
        <v>1092</v>
      </c>
      <c r="R5" s="212" t="s">
        <v>1015</v>
      </c>
      <c r="AC5" s="213" t="s">
        <v>1010</v>
      </c>
      <c r="AD5" s="214" t="s">
        <v>1011</v>
      </c>
      <c r="AE5" s="213" t="s">
        <v>1016</v>
      </c>
      <c r="AF5" s="454" t="s">
        <v>2666</v>
      </c>
      <c r="AG5" s="214" t="s">
        <v>1011</v>
      </c>
      <c r="AH5" t="s">
        <v>2670</v>
      </c>
      <c r="AI5" t="s">
        <v>2669</v>
      </c>
      <c r="AJ5" s="415" t="s">
        <v>1274</v>
      </c>
      <c r="AK5" s="207" t="s">
        <v>2671</v>
      </c>
    </row>
    <row r="6" spans="1:37" ht="15.75" thickTop="1" x14ac:dyDescent="0.25">
      <c r="A6" s="411" t="s">
        <v>3535</v>
      </c>
      <c r="B6" s="215" t="s">
        <v>2870</v>
      </c>
      <c r="C6" s="462"/>
      <c r="E6" s="5"/>
      <c r="F6" s="5"/>
      <c r="G6" s="205"/>
      <c r="H6" s="204" t="s">
        <v>1017</v>
      </c>
      <c r="I6" s="521" t="str">
        <f>IF($N$9&lt;&gt;"",$N$9,IF($N$10&lt;&gt;"",$N$10,IF($N$11&lt;&gt;"",$N$11,IF($N$12&lt;&gt;"",$N$12,IF($N$13&lt;&gt;"",$N$13,IF($N$14&lt;&gt;"",$N$14,IF($N$15&lt;&gt;"",$N$15,IF($N$16&lt;&gt;"",$N$16,IF($N$17&lt;&gt;"",$N$17,IF($N$18&lt;&gt;"",$N$18,IF($N$19&lt;&gt;"",$N$19,IF($N$20&lt;&gt;"",$N$20,IF($N$21&lt;&gt;"",$N$21,IF($N$22&lt;&gt;"",$N$22,IF($N$23&lt;&gt;"",$N$23,IF($N$24&lt;&gt;"",$N$24,IF($N$25&lt;&gt;"",$N$25,IF($N$26&lt;&gt;"",$N$26,IF($N$27&lt;&gt;"",$N$27,IF($N$28&lt;&gt;"",$N$28,IF($N$29&lt;&gt;"",$N$29,IF($N$30&lt;&gt;"",$N$30,IF($N$31&lt;&gt;"",$N$31,IF($N$32&lt;&gt;"",$N$32,IF($N$33&lt;&gt;"",$N$33,IF($N$34&lt;&gt;"",$N$34,IF($N$35&lt;&gt;"",$N$35,IF($N$36&lt;&gt;"",$N$36,IF($N$37&lt;&gt;"",$N$37,IF($N$38&lt;&gt;"",$N$38,IF($N$39&lt;&gt;"",$N$39,IF($N$40&lt;&gt;"",$N$40,IF($N$41&lt;&gt;"",$N$41,IF($N$42&lt;&gt;"",$N$42,IF($N$43&lt;&gt;"",$N$43,IF($N$44&lt;&gt;"",$N$44,IF($N$45&lt;&gt;"",$N$45,IF($N$46&lt;&gt;"",$N$46,IF($N$47&lt;&gt;"",$N$47,IF($N$48&lt;&gt;"",$N$48,IF($N$49&lt;&gt;"",$N$49,IF($N$50&lt;&gt;"",$N$50,IF($N$51&lt;&gt;"",$N$51,IF($N$52&lt;&gt;"",$N$52,IF($N$53&lt;&gt;"",$N$53,IF($N$54&lt;&gt;"",$N$54,IF($N$55&lt;&gt;"",$N$55,IF($N$56&lt;&gt;"",$N$56,IF($N$57&lt;&gt;"",$N$57,IF($N$58&lt;&gt;"",$N$58,IF($N$59&lt;&gt;"",$N$59,IF($N$60&lt;&gt;"",$N$60,IF($N$61&lt;&gt;"",$N$61,"")))))))))))))))))))))))))))))))))))))))))))))))))))))</f>
        <v>Operation #1 not acceptable</v>
      </c>
      <c r="J6" s="521"/>
      <c r="K6" s="521"/>
      <c r="L6" s="521"/>
      <c r="M6" s="521"/>
      <c r="N6" s="522"/>
      <c r="O6" s="53">
        <v>171701</v>
      </c>
      <c r="P6" s="53">
        <v>1717</v>
      </c>
      <c r="Q6" s="41" t="s">
        <v>353</v>
      </c>
      <c r="R6" s="41" t="s">
        <v>2990</v>
      </c>
      <c r="AC6" s="217" t="s">
        <v>1106</v>
      </c>
      <c r="AD6" s="296">
        <f>U173</f>
        <v>0</v>
      </c>
      <c r="AE6" s="425"/>
      <c r="AF6" s="426"/>
      <c r="AG6" s="427"/>
    </row>
    <row r="7" spans="1:37" x14ac:dyDescent="0.25">
      <c r="A7" s="460" t="s">
        <v>3534</v>
      </c>
      <c r="B7" s="215" t="s">
        <v>1018</v>
      </c>
      <c r="C7" s="462"/>
      <c r="E7" s="5"/>
      <c r="F7" s="5"/>
      <c r="G7" s="205"/>
      <c r="H7" s="206"/>
      <c r="I7" s="206"/>
      <c r="J7" s="206"/>
      <c r="K7" s="204"/>
      <c r="L7" s="206"/>
      <c r="M7" s="205"/>
      <c r="O7" s="53">
        <v>171702</v>
      </c>
      <c r="P7" s="53">
        <v>1717</v>
      </c>
      <c r="Q7" s="41" t="s">
        <v>353</v>
      </c>
      <c r="R7" s="41" t="s">
        <v>2991</v>
      </c>
      <c r="AC7" s="217" t="s">
        <v>1281</v>
      </c>
      <c r="AD7" s="302" t="str">
        <f>I11</f>
        <v/>
      </c>
      <c r="AE7" s="217" t="s">
        <v>1272</v>
      </c>
      <c r="AF7" s="215"/>
      <c r="AG7" s="216" t="s">
        <v>1276</v>
      </c>
      <c r="AH7">
        <v>1</v>
      </c>
      <c r="AI7" t="s">
        <v>3464</v>
      </c>
      <c r="AJ7" s="415" t="str">
        <f ca="1">IFERROR(VLOOKUP(AI7,$AF$7:$AG$248,2,FALSE),"")</f>
        <v>Decline</v>
      </c>
    </row>
    <row r="8" spans="1:37" ht="30.75" thickBot="1" x14ac:dyDescent="0.3">
      <c r="A8" s="460">
        <v>650000</v>
      </c>
      <c r="B8" s="215" t="s">
        <v>2887</v>
      </c>
      <c r="C8" s="462"/>
      <c r="D8" s="510" t="s">
        <v>1019</v>
      </c>
      <c r="E8" s="510"/>
      <c r="F8" s="433" t="s">
        <v>2811</v>
      </c>
      <c r="G8" s="218" t="s">
        <v>1020</v>
      </c>
      <c r="H8" s="219" t="s">
        <v>1021</v>
      </c>
      <c r="I8" s="219" t="s">
        <v>1022</v>
      </c>
      <c r="J8" s="219" t="s">
        <v>1023</v>
      </c>
      <c r="K8" s="219" t="s">
        <v>1024</v>
      </c>
      <c r="L8" s="219" t="s">
        <v>1025</v>
      </c>
      <c r="M8" s="219" t="s">
        <v>1026</v>
      </c>
      <c r="N8" s="220" t="s">
        <v>1027</v>
      </c>
      <c r="O8" s="53">
        <v>176600</v>
      </c>
      <c r="P8" s="53">
        <v>1766</v>
      </c>
      <c r="Q8" s="41" t="s">
        <v>354</v>
      </c>
      <c r="R8" s="41" t="s">
        <v>2992</v>
      </c>
      <c r="AC8" s="217" t="s">
        <v>1282</v>
      </c>
      <c r="AD8" s="296">
        <f>C19</f>
        <v>0</v>
      </c>
      <c r="AE8" s="217" t="s">
        <v>1273</v>
      </c>
      <c r="AF8" s="215"/>
      <c r="AG8" s="216" t="s">
        <v>1277</v>
      </c>
      <c r="AH8">
        <v>2</v>
      </c>
      <c r="AI8" t="s">
        <v>3463</v>
      </c>
      <c r="AJ8" s="415" t="str">
        <f ca="1">IFERROR(VLOOKUP(AI8,$AF$7:$AG$248,2,FALSE),"")</f>
        <v>Operation #1 not acceptable</v>
      </c>
    </row>
    <row r="9" spans="1:37" x14ac:dyDescent="0.25">
      <c r="A9" s="460">
        <v>650100</v>
      </c>
      <c r="B9" s="215" t="s">
        <v>1028</v>
      </c>
      <c r="C9" s="462"/>
      <c r="D9" s="474">
        <v>1</v>
      </c>
      <c r="E9" s="221" t="s">
        <v>1072</v>
      </c>
      <c r="F9" s="221" t="s">
        <v>2812</v>
      </c>
      <c r="G9" s="221" t="s">
        <v>1399</v>
      </c>
      <c r="H9" s="222">
        <f>C17</f>
        <v>0</v>
      </c>
      <c r="I9" s="222" t="s">
        <v>1398</v>
      </c>
      <c r="J9" s="222">
        <f>IF(H9&lt;=I9,0,1)</f>
        <v>0</v>
      </c>
      <c r="K9" s="222" t="s">
        <v>1324</v>
      </c>
      <c r="L9" s="222">
        <f>IF(J9=0,0,IF(K9="Y",0,1))</f>
        <v>0</v>
      </c>
      <c r="M9" s="221" t="str">
        <f>IF(J9=1,F9,"")</f>
        <v/>
      </c>
      <c r="N9" s="223" t="str">
        <f>IF(M9="","",IF(L9=0,F9,""))</f>
        <v/>
      </c>
      <c r="O9" s="53">
        <v>174300</v>
      </c>
      <c r="P9" s="53">
        <v>1743</v>
      </c>
      <c r="Q9" s="41" t="s">
        <v>355</v>
      </c>
      <c r="R9" s="41" t="s">
        <v>2993</v>
      </c>
      <c r="AC9" s="217" t="s">
        <v>1309</v>
      </c>
      <c r="AD9" s="302" t="str">
        <f>I12</f>
        <v/>
      </c>
      <c r="AE9" s="217" t="s">
        <v>1274</v>
      </c>
      <c r="AF9" t="s">
        <v>3464</v>
      </c>
      <c r="AG9" s="216" t="str">
        <f ca="1">$I$4</f>
        <v>Decline</v>
      </c>
      <c r="AH9">
        <v>3</v>
      </c>
      <c r="AI9" t="s">
        <v>3614</v>
      </c>
      <c r="AJ9" s="415" t="str">
        <f ca="1">IFERROR(VLOOKUP(AI9,$AF$7:$AG$248,2,FALSE),"")</f>
        <v/>
      </c>
    </row>
    <row r="10" spans="1:37" x14ac:dyDescent="0.25">
      <c r="A10" s="461">
        <v>510</v>
      </c>
      <c r="B10" s="215" t="s">
        <v>1029</v>
      </c>
      <c r="C10" s="486"/>
      <c r="D10" s="475">
        <v>2</v>
      </c>
      <c r="E10" s="225" t="s">
        <v>1099</v>
      </c>
      <c r="F10" s="225" t="s">
        <v>2813</v>
      </c>
      <c r="G10" s="225" t="s">
        <v>2598</v>
      </c>
      <c r="H10" s="226">
        <f>C123</f>
        <v>0</v>
      </c>
      <c r="I10" s="226"/>
      <c r="J10" s="226">
        <f>IF(OR(H10="Construction",H10="Vacant",H10="Vacantland"),1,0)</f>
        <v>0</v>
      </c>
      <c r="K10" s="226" t="s">
        <v>1324</v>
      </c>
      <c r="L10" s="226">
        <f t="shared" ref="L10:L35" si="0">IF(J10=0,0,IF(K10="Y",0,1))</f>
        <v>0</v>
      </c>
      <c r="M10" s="225" t="str">
        <f t="shared" ref="M10:M50" si="1">IF(J10=1,F10,"")</f>
        <v/>
      </c>
      <c r="N10" s="227" t="str">
        <f t="shared" ref="N10:N50" si="2">IF(M10="","",IF(L10=0,F10,""))</f>
        <v/>
      </c>
      <c r="O10" s="440">
        <v>181101</v>
      </c>
      <c r="P10" s="440">
        <v>1811</v>
      </c>
      <c r="Q10" s="442" t="s">
        <v>356</v>
      </c>
      <c r="R10" s="442" t="s">
        <v>2994</v>
      </c>
      <c r="AC10" s="217" t="s">
        <v>1283</v>
      </c>
      <c r="AD10" s="296">
        <f>C26</f>
        <v>0</v>
      </c>
      <c r="AE10" s="217" t="s">
        <v>1278</v>
      </c>
      <c r="AF10" s="215" t="s">
        <v>3463</v>
      </c>
      <c r="AG10" s="216" t="str">
        <f ca="1">IF(AG9="Refer",I6,IF(AG9="Decline",I5,"Send bind request to Commonwell to bind"))</f>
        <v>Operation #1 not acceptable</v>
      </c>
      <c r="AH10">
        <v>4</v>
      </c>
      <c r="AI10" t="s">
        <v>3615</v>
      </c>
      <c r="AJ10" s="415" t="str">
        <f ca="1">IFERROR(VLOOKUP(AI10,$AF$7:$AG$248,2,FALSE),"")</f>
        <v/>
      </c>
    </row>
    <row r="11" spans="1:37" x14ac:dyDescent="0.25">
      <c r="A11" s="461">
        <v>513</v>
      </c>
      <c r="B11" s="215" t="s">
        <v>1030</v>
      </c>
      <c r="C11" s="462"/>
      <c r="D11" s="475">
        <v>3</v>
      </c>
      <c r="E11" s="225" t="s">
        <v>1314</v>
      </c>
      <c r="F11" s="277" t="s">
        <v>2814</v>
      </c>
      <c r="G11" t="s">
        <v>1387</v>
      </c>
      <c r="H11" s="226">
        <f>IF(C18="",0,VALUE(C18))</f>
        <v>0</v>
      </c>
      <c r="I11" s="226" t="str">
        <f t="shared" ref="I11:I19" si="3">IF(H11=0,"",IFERROR(VLOOKUP(H11,$O$6:$P$52,2,FALSE),"No Match"))</f>
        <v/>
      </c>
      <c r="J11" s="226">
        <f>IF(I11="No Match",1,IF(H11=0,1,0))</f>
        <v>1</v>
      </c>
      <c r="K11" s="226" t="s">
        <v>1386</v>
      </c>
      <c r="L11" s="226">
        <f>IF(J11=0,0,IF(K11="Y",0,1))</f>
        <v>0</v>
      </c>
      <c r="M11" s="225" t="str">
        <f t="shared" si="1"/>
        <v>Operation #1 not acceptable</v>
      </c>
      <c r="N11" s="227" t="str">
        <f t="shared" si="2"/>
        <v>Operation #1 not acceptable</v>
      </c>
      <c r="O11" s="440">
        <v>181102</v>
      </c>
      <c r="P11" s="440">
        <v>1811</v>
      </c>
      <c r="Q11" s="442" t="s">
        <v>356</v>
      </c>
      <c r="R11" s="442" t="s">
        <v>2995</v>
      </c>
      <c r="AC11" s="217" t="s">
        <v>1284</v>
      </c>
      <c r="AD11" s="302" t="str">
        <f>I13</f>
        <v/>
      </c>
      <c r="AE11" s="217" t="s">
        <v>1275</v>
      </c>
      <c r="AF11" t="s">
        <v>3647</v>
      </c>
      <c r="AG11" s="452" t="str">
        <f ca="1">IF($AG$9="Quote",Calculator!F217,"")</f>
        <v/>
      </c>
      <c r="AH11">
        <v>5</v>
      </c>
      <c r="AI11" t="s">
        <v>2788</v>
      </c>
    </row>
    <row r="12" spans="1:37" x14ac:dyDescent="0.25">
      <c r="A12" s="461">
        <v>533</v>
      </c>
      <c r="B12" s="215" t="s">
        <v>2886</v>
      </c>
      <c r="C12" s="463"/>
      <c r="D12" s="475">
        <v>4</v>
      </c>
      <c r="E12" s="225" t="s">
        <v>1315</v>
      </c>
      <c r="F12" s="282" t="s">
        <v>2815</v>
      </c>
      <c r="G12" t="s">
        <v>1388</v>
      </c>
      <c r="H12" s="226">
        <f>IF(C25="",0,VALUE(C25))</f>
        <v>0</v>
      </c>
      <c r="I12" s="226" t="str">
        <f t="shared" si="3"/>
        <v/>
      </c>
      <c r="J12" s="226">
        <f t="shared" ref="J12:J20" si="4">IF(I12="No Match",1,0)</f>
        <v>0</v>
      </c>
      <c r="K12" s="226" t="s">
        <v>1324</v>
      </c>
      <c r="L12" s="226">
        <f t="shared" ref="L12:L20" si="5">IF(J12=0,0,IF(K12="Y",0,1))</f>
        <v>0</v>
      </c>
      <c r="M12" s="225" t="str">
        <f t="shared" si="1"/>
        <v/>
      </c>
      <c r="N12" s="227" t="str">
        <f t="shared" si="2"/>
        <v/>
      </c>
      <c r="O12" s="53">
        <v>175200</v>
      </c>
      <c r="P12" s="53">
        <v>1752</v>
      </c>
      <c r="Q12" s="41" t="s">
        <v>357</v>
      </c>
      <c r="R12" s="41" t="s">
        <v>2996</v>
      </c>
      <c r="AC12" s="217" t="s">
        <v>1285</v>
      </c>
      <c r="AD12" s="296">
        <f>C33</f>
        <v>0</v>
      </c>
      <c r="AE12" s="217" t="s">
        <v>3466</v>
      </c>
      <c r="AF12" t="s">
        <v>3615</v>
      </c>
      <c r="AG12" s="289" t="str">
        <f ca="1">IF($AG$9="Quote",0,"")</f>
        <v/>
      </c>
      <c r="AH12">
        <v>6</v>
      </c>
      <c r="AI12" t="s">
        <v>3444</v>
      </c>
    </row>
    <row r="13" spans="1:37" x14ac:dyDescent="0.25">
      <c r="A13" s="461">
        <v>10508</v>
      </c>
      <c r="B13" s="215" t="s">
        <v>2908</v>
      </c>
      <c r="C13" s="462"/>
      <c r="D13" s="475">
        <v>5</v>
      </c>
      <c r="E13" s="225" t="s">
        <v>1316</v>
      </c>
      <c r="F13" s="282" t="s">
        <v>2816</v>
      </c>
      <c r="G13" t="s">
        <v>1389</v>
      </c>
      <c r="H13" s="226">
        <f>IF(C32="",0,VALUE(C32))</f>
        <v>0</v>
      </c>
      <c r="I13" s="226" t="str">
        <f t="shared" si="3"/>
        <v/>
      </c>
      <c r="J13" s="226">
        <f t="shared" si="4"/>
        <v>0</v>
      </c>
      <c r="K13" s="226" t="s">
        <v>1324</v>
      </c>
      <c r="L13" s="226">
        <f t="shared" si="5"/>
        <v>0</v>
      </c>
      <c r="M13" s="225" t="str">
        <f t="shared" si="1"/>
        <v/>
      </c>
      <c r="N13" s="227" t="str">
        <f t="shared" si="2"/>
        <v/>
      </c>
      <c r="O13" s="53">
        <v>175200</v>
      </c>
      <c r="P13" s="53">
        <v>1752</v>
      </c>
      <c r="Q13" s="41" t="s">
        <v>358</v>
      </c>
      <c r="R13" s="41" t="s">
        <v>2996</v>
      </c>
      <c r="AC13" s="217" t="s">
        <v>1286</v>
      </c>
      <c r="AD13" s="302" t="str">
        <f>I14</f>
        <v/>
      </c>
      <c r="AE13" s="217" t="s">
        <v>3653</v>
      </c>
      <c r="AF13" t="s">
        <v>3465</v>
      </c>
      <c r="AG13" s="452" t="str">
        <f ca="1">IF($AG$9="Quote",AG11+AG12,"")</f>
        <v/>
      </c>
      <c r="AH13" s="429">
        <v>7</v>
      </c>
      <c r="AI13" s="430" t="s">
        <v>1235</v>
      </c>
      <c r="AJ13" s="432" t="str">
        <f t="shared" ref="AJ13:AJ76" ca="1" si="6">IFERROR(IF($AJ$7&lt;&gt;"Quote","",IF(VLOOKUP(AI13,$AF$7:$AG$248,2,FALSE)=0,"-",VLOOKUP(AI13,$AF$7:$AG$248,2,FALSE))),"-")</f>
        <v/>
      </c>
      <c r="AK13" s="431"/>
    </row>
    <row r="14" spans="1:37" x14ac:dyDescent="0.25">
      <c r="A14" s="461">
        <v>519</v>
      </c>
      <c r="B14" s="215" t="s">
        <v>1032</v>
      </c>
      <c r="C14" s="462"/>
      <c r="D14" s="475">
        <v>6</v>
      </c>
      <c r="E14" s="225" t="s">
        <v>1317</v>
      </c>
      <c r="F14" s="282" t="s">
        <v>2817</v>
      </c>
      <c r="G14" t="s">
        <v>1390</v>
      </c>
      <c r="H14" s="226">
        <f>IF(C39="",0,VALUE(C39))</f>
        <v>0</v>
      </c>
      <c r="I14" s="226" t="str">
        <f t="shared" si="3"/>
        <v/>
      </c>
      <c r="J14" s="226">
        <f t="shared" si="4"/>
        <v>0</v>
      </c>
      <c r="K14" s="226" t="s">
        <v>1324</v>
      </c>
      <c r="L14" s="226">
        <f t="shared" si="5"/>
        <v>0</v>
      </c>
      <c r="M14" s="225" t="str">
        <f t="shared" si="1"/>
        <v/>
      </c>
      <c r="N14" s="227" t="str">
        <f t="shared" si="2"/>
        <v/>
      </c>
      <c r="O14" s="53">
        <v>175601</v>
      </c>
      <c r="P14" s="53">
        <v>1756</v>
      </c>
      <c r="Q14" s="41" t="s">
        <v>359</v>
      </c>
      <c r="R14" s="41" t="s">
        <v>1560</v>
      </c>
      <c r="AC14" s="217" t="s">
        <v>1287</v>
      </c>
      <c r="AD14" s="296">
        <f>C40</f>
        <v>0</v>
      </c>
      <c r="AE14" s="217" t="s">
        <v>3655</v>
      </c>
      <c r="AF14" t="s">
        <v>3651</v>
      </c>
      <c r="AG14" s="494" t="str">
        <f ca="1">IF($AG$9="Quote",TODAY()+60,"")</f>
        <v/>
      </c>
      <c r="AH14">
        <v>8</v>
      </c>
      <c r="AI14" t="s">
        <v>2673</v>
      </c>
      <c r="AJ14" s="415" t="str">
        <f t="shared" ca="1" si="6"/>
        <v/>
      </c>
    </row>
    <row r="15" spans="1:37" x14ac:dyDescent="0.25">
      <c r="A15" s="461">
        <v>502</v>
      </c>
      <c r="B15" s="215" t="s">
        <v>1403</v>
      </c>
      <c r="C15" s="462"/>
      <c r="D15" s="475">
        <v>7</v>
      </c>
      <c r="E15" s="225" t="s">
        <v>1318</v>
      </c>
      <c r="F15" s="282" t="s">
        <v>2818</v>
      </c>
      <c r="G15" t="s">
        <v>1391</v>
      </c>
      <c r="H15" s="226">
        <f>IF(C46="",0,VALUE(C46))</f>
        <v>0</v>
      </c>
      <c r="I15" s="226" t="str">
        <f t="shared" si="3"/>
        <v/>
      </c>
      <c r="J15" s="226">
        <f t="shared" si="4"/>
        <v>0</v>
      </c>
      <c r="K15" s="226" t="s">
        <v>1324</v>
      </c>
      <c r="L15" s="226">
        <f t="shared" si="5"/>
        <v>0</v>
      </c>
      <c r="M15" s="225" t="str">
        <f t="shared" si="1"/>
        <v/>
      </c>
      <c r="N15" s="227" t="str">
        <f t="shared" si="2"/>
        <v/>
      </c>
      <c r="O15" s="53">
        <v>175602</v>
      </c>
      <c r="P15" s="53">
        <v>1756</v>
      </c>
      <c r="Q15" s="41" t="s">
        <v>359</v>
      </c>
      <c r="R15" s="41" t="s">
        <v>2997</v>
      </c>
      <c r="AC15" s="217" t="s">
        <v>1288</v>
      </c>
      <c r="AD15" s="302" t="str">
        <f>I15</f>
        <v/>
      </c>
      <c r="AE15" s="217" t="s">
        <v>3656</v>
      </c>
      <c r="AF15" t="s">
        <v>3650</v>
      </c>
      <c r="AG15" s="229" t="str">
        <f ca="1">IF($AG$9="Quote","","")</f>
        <v/>
      </c>
      <c r="AH15">
        <v>9</v>
      </c>
      <c r="AI15" t="s">
        <v>2674</v>
      </c>
      <c r="AJ15" s="415" t="str">
        <f t="shared" ca="1" si="6"/>
        <v/>
      </c>
    </row>
    <row r="16" spans="1:37" x14ac:dyDescent="0.25">
      <c r="A16" s="461">
        <v>523</v>
      </c>
      <c r="B16" s="215" t="s">
        <v>1033</v>
      </c>
      <c r="C16" s="463"/>
      <c r="D16" s="475">
        <v>8</v>
      </c>
      <c r="E16" s="225" t="s">
        <v>1319</v>
      </c>
      <c r="F16" s="282" t="s">
        <v>2819</v>
      </c>
      <c r="G16" t="s">
        <v>1392</v>
      </c>
      <c r="H16" s="226">
        <f>IF(C53="",0,VALUE(C53))</f>
        <v>0</v>
      </c>
      <c r="I16" s="226" t="str">
        <f t="shared" si="3"/>
        <v/>
      </c>
      <c r="J16" s="226">
        <f t="shared" si="4"/>
        <v>0</v>
      </c>
      <c r="K16" s="226" t="s">
        <v>1324</v>
      </c>
      <c r="L16" s="226">
        <f t="shared" si="5"/>
        <v>0</v>
      </c>
      <c r="M16" s="225" t="str">
        <f t="shared" si="1"/>
        <v/>
      </c>
      <c r="N16" s="227" t="str">
        <f t="shared" si="2"/>
        <v/>
      </c>
      <c r="O16" s="53">
        <v>175603</v>
      </c>
      <c r="P16" s="53">
        <v>1756</v>
      </c>
      <c r="Q16" s="41" t="s">
        <v>359</v>
      </c>
      <c r="R16" s="41" t="s">
        <v>2998</v>
      </c>
      <c r="AC16" s="217" t="s">
        <v>1289</v>
      </c>
      <c r="AD16" s="296">
        <f>C47</f>
        <v>0</v>
      </c>
      <c r="AE16" s="217" t="s">
        <v>3649</v>
      </c>
      <c r="AF16" t="s">
        <v>3649</v>
      </c>
      <c r="AG16" s="229" t="str">
        <f ca="1">IF($AG$9="Quote",20%,"")</f>
        <v/>
      </c>
      <c r="AH16">
        <v>10</v>
      </c>
      <c r="AI16" t="s">
        <v>3616</v>
      </c>
      <c r="AJ16" s="415" t="str">
        <f t="shared" ca="1" si="6"/>
        <v/>
      </c>
    </row>
    <row r="17" spans="1:36" x14ac:dyDescent="0.25">
      <c r="A17" s="461">
        <v>650500</v>
      </c>
      <c r="B17" s="215" t="s">
        <v>1034</v>
      </c>
      <c r="C17" s="462"/>
      <c r="D17" s="475">
        <v>9</v>
      </c>
      <c r="E17" s="225" t="s">
        <v>1320</v>
      </c>
      <c r="F17" s="282" t="s">
        <v>2820</v>
      </c>
      <c r="G17" t="s">
        <v>1393</v>
      </c>
      <c r="H17" s="226">
        <f>IF(C60="",0,VALUE(C60))</f>
        <v>0</v>
      </c>
      <c r="I17" s="226" t="str">
        <f t="shared" si="3"/>
        <v/>
      </c>
      <c r="J17" s="226">
        <f t="shared" si="4"/>
        <v>0</v>
      </c>
      <c r="K17" s="226" t="s">
        <v>1324</v>
      </c>
      <c r="L17" s="226">
        <f t="shared" si="5"/>
        <v>0</v>
      </c>
      <c r="M17" s="225" t="str">
        <f t="shared" si="1"/>
        <v/>
      </c>
      <c r="N17" s="227" t="str">
        <f t="shared" si="2"/>
        <v/>
      </c>
      <c r="O17" s="53">
        <v>175604</v>
      </c>
      <c r="P17" s="53">
        <v>1756</v>
      </c>
      <c r="Q17" s="41" t="s">
        <v>359</v>
      </c>
      <c r="R17" s="41" t="s">
        <v>2999</v>
      </c>
      <c r="AC17" s="217" t="s">
        <v>1290</v>
      </c>
      <c r="AD17" s="302" t="str">
        <f>I16</f>
        <v/>
      </c>
      <c r="AE17" s="217" t="s">
        <v>1252</v>
      </c>
      <c r="AF17" s="215" t="s">
        <v>2740</v>
      </c>
      <c r="AG17" s="289" t="str">
        <f ca="1">IF(AG9="Quote",Calculator!E7,"")</f>
        <v/>
      </c>
      <c r="AH17">
        <v>11</v>
      </c>
      <c r="AI17" t="s">
        <v>2676</v>
      </c>
      <c r="AJ17" s="415" t="str">
        <f t="shared" ca="1" si="6"/>
        <v/>
      </c>
    </row>
    <row r="18" spans="1:36" ht="25.5" x14ac:dyDescent="0.25">
      <c r="A18" s="460" t="s">
        <v>2895</v>
      </c>
      <c r="B18" s="215" t="s">
        <v>2921</v>
      </c>
      <c r="C18" s="464"/>
      <c r="D18" s="475">
        <v>10</v>
      </c>
      <c r="E18" s="225" t="s">
        <v>1321</v>
      </c>
      <c r="F18" s="282" t="s">
        <v>2821</v>
      </c>
      <c r="G18" t="s">
        <v>1394</v>
      </c>
      <c r="H18" s="226">
        <f>IF(C67="",0,VALUE(C67))</f>
        <v>0</v>
      </c>
      <c r="I18" s="226" t="str">
        <f t="shared" si="3"/>
        <v/>
      </c>
      <c r="J18" s="226">
        <f t="shared" si="4"/>
        <v>0</v>
      </c>
      <c r="K18" s="226" t="s">
        <v>1324</v>
      </c>
      <c r="L18" s="226">
        <f t="shared" si="5"/>
        <v>0</v>
      </c>
      <c r="M18" s="225" t="str">
        <f t="shared" si="1"/>
        <v/>
      </c>
      <c r="N18" s="227" t="str">
        <f t="shared" si="2"/>
        <v/>
      </c>
      <c r="O18" s="440">
        <v>174100</v>
      </c>
      <c r="P18" s="440">
        <v>1741</v>
      </c>
      <c r="Q18" s="443" t="s">
        <v>360</v>
      </c>
      <c r="R18" s="443" t="s">
        <v>3000</v>
      </c>
      <c r="AC18" s="217" t="s">
        <v>1291</v>
      </c>
      <c r="AD18" s="296">
        <f>C54</f>
        <v>0</v>
      </c>
      <c r="AE18" s="217" t="s">
        <v>2850</v>
      </c>
      <c r="AF18" s="215" t="s">
        <v>2753</v>
      </c>
      <c r="AG18" s="289" t="str">
        <f ca="1">IF(AG9="Quote",Calculator!E7,"")</f>
        <v/>
      </c>
      <c r="AH18">
        <v>12</v>
      </c>
      <c r="AI18" t="s">
        <v>201</v>
      </c>
      <c r="AJ18" s="415" t="str">
        <f t="shared" ca="1" si="6"/>
        <v/>
      </c>
    </row>
    <row r="19" spans="1:36" x14ac:dyDescent="0.25">
      <c r="A19" s="460" t="s">
        <v>3467</v>
      </c>
      <c r="B19" s="231" t="s">
        <v>1035</v>
      </c>
      <c r="C19" s="465"/>
      <c r="D19" s="475">
        <v>11</v>
      </c>
      <c r="E19" s="225" t="s">
        <v>1322</v>
      </c>
      <c r="F19" s="282" t="s">
        <v>2822</v>
      </c>
      <c r="G19" t="s">
        <v>1395</v>
      </c>
      <c r="H19" s="226">
        <f>IF(C74="",0,VALUE(C74))</f>
        <v>0</v>
      </c>
      <c r="I19" s="226" t="str">
        <f t="shared" si="3"/>
        <v/>
      </c>
      <c r="J19" s="226">
        <f t="shared" si="4"/>
        <v>0</v>
      </c>
      <c r="K19" s="226" t="s">
        <v>1324</v>
      </c>
      <c r="L19" s="226">
        <f t="shared" si="5"/>
        <v>0</v>
      </c>
      <c r="M19" s="225" t="str">
        <f t="shared" si="1"/>
        <v/>
      </c>
      <c r="N19" s="227" t="str">
        <f t="shared" si="2"/>
        <v/>
      </c>
      <c r="O19" s="53">
        <v>174400</v>
      </c>
      <c r="P19" s="53">
        <v>1744</v>
      </c>
      <c r="Q19" s="41" t="s">
        <v>361</v>
      </c>
      <c r="R19" s="41" t="s">
        <v>3001</v>
      </c>
      <c r="AC19" s="217" t="s">
        <v>1292</v>
      </c>
      <c r="AD19" s="302" t="str">
        <f>I17</f>
        <v/>
      </c>
      <c r="AE19" s="217" t="s">
        <v>1253</v>
      </c>
      <c r="AF19" s="215" t="s">
        <v>2740</v>
      </c>
      <c r="AG19" s="289" t="str">
        <f ca="1">IF($AG$9="Quote",$AG$17,"")</f>
        <v/>
      </c>
      <c r="AH19">
        <v>13</v>
      </c>
      <c r="AI19" t="s">
        <v>2677</v>
      </c>
      <c r="AJ19" s="415" t="str">
        <f t="shared" ca="1" si="6"/>
        <v/>
      </c>
    </row>
    <row r="20" spans="1:36" ht="16.5" customHeight="1" x14ac:dyDescent="0.25">
      <c r="A20" s="460" t="s">
        <v>3468</v>
      </c>
      <c r="B20" s="231" t="s">
        <v>1036</v>
      </c>
      <c r="C20" s="465"/>
      <c r="D20" s="475">
        <v>12</v>
      </c>
      <c r="E20" s="225" t="s">
        <v>1323</v>
      </c>
      <c r="F20" s="282" t="s">
        <v>2823</v>
      </c>
      <c r="G20" t="s">
        <v>1396</v>
      </c>
      <c r="H20" s="226">
        <f>IF(C81="",0,VALUE(C81))</f>
        <v>0</v>
      </c>
      <c r="I20" s="226" t="str">
        <f>IF(H20=0,"",VLOOKUP(H20,$O$6:$P$52,2,FALSE))</f>
        <v/>
      </c>
      <c r="J20" s="226">
        <f t="shared" si="4"/>
        <v>0</v>
      </c>
      <c r="K20" s="226" t="s">
        <v>1324</v>
      </c>
      <c r="L20" s="226">
        <f t="shared" si="5"/>
        <v>0</v>
      </c>
      <c r="M20" s="225" t="str">
        <f t="shared" si="1"/>
        <v/>
      </c>
      <c r="N20" s="227" t="str">
        <f t="shared" si="2"/>
        <v/>
      </c>
      <c r="O20" s="440">
        <v>173101</v>
      </c>
      <c r="P20" s="440">
        <v>1731</v>
      </c>
      <c r="Q20" s="443" t="s">
        <v>362</v>
      </c>
      <c r="R20" s="443" t="s">
        <v>3002</v>
      </c>
      <c r="AC20" s="217" t="s">
        <v>1293</v>
      </c>
      <c r="AD20" s="296">
        <f>C61</f>
        <v>0</v>
      </c>
      <c r="AE20" s="217" t="s">
        <v>1254</v>
      </c>
      <c r="AF20" s="215" t="s">
        <v>2762</v>
      </c>
      <c r="AG20" s="289" t="str">
        <f ca="1">IF($AG$9="Quote",$AG$17,"")</f>
        <v/>
      </c>
      <c r="AH20">
        <v>14</v>
      </c>
      <c r="AI20" t="s">
        <v>1230</v>
      </c>
      <c r="AJ20" s="415" t="str">
        <f t="shared" ca="1" si="6"/>
        <v/>
      </c>
    </row>
    <row r="21" spans="1:36" ht="15.75" customHeight="1" x14ac:dyDescent="0.25">
      <c r="A21" s="460" t="s">
        <v>3469</v>
      </c>
      <c r="B21" s="231" t="s">
        <v>1037</v>
      </c>
      <c r="C21" s="465"/>
      <c r="D21" s="475">
        <v>13</v>
      </c>
      <c r="E21" s="225" t="s">
        <v>1073</v>
      </c>
      <c r="F21" s="225" t="s">
        <v>2809</v>
      </c>
      <c r="G21" s="225" t="s">
        <v>2887</v>
      </c>
      <c r="H21" s="318">
        <f>C8</f>
        <v>0</v>
      </c>
      <c r="I21" s="318" t="s">
        <v>1398</v>
      </c>
      <c r="J21" s="226">
        <f>IF(H21=I21,0,1)</f>
        <v>1</v>
      </c>
      <c r="K21" s="226" t="s">
        <v>1386</v>
      </c>
      <c r="L21" s="226">
        <f t="shared" si="0"/>
        <v>0</v>
      </c>
      <c r="M21" s="225" t="str">
        <f t="shared" si="1"/>
        <v>Risk is not claims free for 3 years</v>
      </c>
      <c r="N21" s="227" t="str">
        <f t="shared" si="2"/>
        <v>Risk is not claims free for 3 years</v>
      </c>
      <c r="O21" s="440">
        <v>173102</v>
      </c>
      <c r="P21" s="440">
        <v>1731</v>
      </c>
      <c r="Q21" s="443" t="s">
        <v>362</v>
      </c>
      <c r="R21" s="443" t="s">
        <v>1536</v>
      </c>
      <c r="AC21" s="217" t="s">
        <v>1294</v>
      </c>
      <c r="AD21" s="302" t="str">
        <f>I18</f>
        <v/>
      </c>
      <c r="AE21" s="217" t="s">
        <v>1255</v>
      </c>
      <c r="AF21" s="215" t="s">
        <v>2756</v>
      </c>
      <c r="AG21" s="289" t="str">
        <f ca="1">IF(AG9="Quote",25000,"")</f>
        <v/>
      </c>
      <c r="AH21">
        <v>15</v>
      </c>
      <c r="AI21" t="s">
        <v>2678</v>
      </c>
      <c r="AJ21" s="415" t="str">
        <f t="shared" ca="1" si="6"/>
        <v/>
      </c>
    </row>
    <row r="22" spans="1:36" ht="12.75" customHeight="1" x14ac:dyDescent="0.25">
      <c r="A22" s="460" t="s">
        <v>3470</v>
      </c>
      <c r="B22" s="231" t="s">
        <v>2919</v>
      </c>
      <c r="C22" s="465"/>
      <c r="D22" s="475">
        <v>14</v>
      </c>
      <c r="E22" s="215" t="s">
        <v>1075</v>
      </c>
      <c r="F22" s="215" t="s">
        <v>3599</v>
      </c>
      <c r="G22" s="215" t="s">
        <v>2593</v>
      </c>
      <c r="H22" s="477" t="str">
        <f>IF(U361="No","",U242)</f>
        <v>Decline</v>
      </c>
      <c r="I22" s="477" t="s">
        <v>2590</v>
      </c>
      <c r="J22" s="226">
        <f>IF(H22="",0,IF(H22=I22,0,1))</f>
        <v>1</v>
      </c>
      <c r="K22" s="226" t="s">
        <v>1324</v>
      </c>
      <c r="L22" s="226">
        <f t="shared" si="0"/>
        <v>1</v>
      </c>
      <c r="M22" s="225" t="str">
        <f t="shared" si="1"/>
        <v>Building electrical services does not meet requirements</v>
      </c>
      <c r="N22" s="227" t="str">
        <f t="shared" si="2"/>
        <v/>
      </c>
      <c r="O22" s="440">
        <v>173103</v>
      </c>
      <c r="P22" s="440">
        <v>1731</v>
      </c>
      <c r="Q22" s="443" t="s">
        <v>362</v>
      </c>
      <c r="R22" s="443" t="s">
        <v>3003</v>
      </c>
      <c r="AC22" s="217" t="s">
        <v>1295</v>
      </c>
      <c r="AD22" s="296">
        <f>C68</f>
        <v>0</v>
      </c>
      <c r="AE22" s="217" t="s">
        <v>1256</v>
      </c>
      <c r="AF22" t="s">
        <v>3447</v>
      </c>
      <c r="AG22" s="289" t="str">
        <f ca="1">IF(AG9="Quote",500000,"")</f>
        <v/>
      </c>
      <c r="AH22">
        <v>16</v>
      </c>
      <c r="AI22" t="s">
        <v>3617</v>
      </c>
      <c r="AJ22" s="415" t="str">
        <f t="shared" ca="1" si="6"/>
        <v/>
      </c>
    </row>
    <row r="23" spans="1:36" x14ac:dyDescent="0.25">
      <c r="A23" s="460" t="s">
        <v>3471</v>
      </c>
      <c r="B23" s="231" t="s">
        <v>2920</v>
      </c>
      <c r="C23" s="465"/>
      <c r="D23" s="475">
        <v>15</v>
      </c>
      <c r="E23" s="225" t="s">
        <v>1074</v>
      </c>
      <c r="F23" s="225" t="s">
        <v>2824</v>
      </c>
      <c r="G23" s="225" t="s">
        <v>2453</v>
      </c>
      <c r="H23" s="226">
        <f>IF(U361="No","",$C$135)</f>
        <v>0</v>
      </c>
      <c r="I23" s="226"/>
      <c r="J23" s="226">
        <f>IF(H23="",0,IF(H23=I23,0,1))</f>
        <v>0</v>
      </c>
      <c r="K23" s="226" t="s">
        <v>1324</v>
      </c>
      <c r="L23" s="226">
        <f t="shared" si="0"/>
        <v>0</v>
      </c>
      <c r="M23" s="225" t="str">
        <f t="shared" si="1"/>
        <v/>
      </c>
      <c r="N23" s="227" t="str">
        <f t="shared" si="2"/>
        <v/>
      </c>
      <c r="O23" s="53">
        <v>152200</v>
      </c>
      <c r="P23" s="53">
        <v>1522</v>
      </c>
      <c r="Q23" s="41" t="s">
        <v>363</v>
      </c>
      <c r="R23" s="41" t="s">
        <v>3004</v>
      </c>
      <c r="AC23" s="217" t="s">
        <v>1296</v>
      </c>
      <c r="AD23" s="302" t="str">
        <f>I19</f>
        <v/>
      </c>
      <c r="AE23" s="217" t="s">
        <v>1257</v>
      </c>
      <c r="AF23" s="215" t="s">
        <v>2758</v>
      </c>
      <c r="AG23" s="289" t="str">
        <f ca="1">IF($AG$9="Quote",$AG$17,"")</f>
        <v/>
      </c>
      <c r="AH23">
        <v>17</v>
      </c>
      <c r="AI23" t="s">
        <v>2680</v>
      </c>
      <c r="AJ23" s="415" t="str">
        <f t="shared" ca="1" si="6"/>
        <v/>
      </c>
    </row>
    <row r="24" spans="1:36" ht="13.5" customHeight="1" x14ac:dyDescent="0.25">
      <c r="A24" s="460" t="s">
        <v>3472</v>
      </c>
      <c r="B24" s="231" t="s">
        <v>2922</v>
      </c>
      <c r="C24" s="463"/>
      <c r="D24" s="475">
        <v>16</v>
      </c>
      <c r="E24" s="225" t="s">
        <v>1076</v>
      </c>
      <c r="F24" s="225" t="s">
        <v>2825</v>
      </c>
      <c r="G24" s="225" t="s">
        <v>2453</v>
      </c>
      <c r="H24" s="226">
        <f>IF(U361="No","",$C$135)</f>
        <v>0</v>
      </c>
      <c r="I24" s="226"/>
      <c r="J24" s="226">
        <f>IF(H24="",0,IF(H24=I24,0,1))</f>
        <v>0</v>
      </c>
      <c r="K24" s="226" t="s">
        <v>1324</v>
      </c>
      <c r="L24" s="226">
        <f t="shared" si="0"/>
        <v>0</v>
      </c>
      <c r="M24" s="225" t="str">
        <f t="shared" si="1"/>
        <v/>
      </c>
      <c r="N24" s="227" t="str">
        <f t="shared" si="2"/>
        <v/>
      </c>
      <c r="O24" s="440">
        <v>153500</v>
      </c>
      <c r="P24" s="440">
        <v>1535</v>
      </c>
      <c r="Q24" s="443" t="s">
        <v>364</v>
      </c>
      <c r="R24" s="443" t="s">
        <v>3005</v>
      </c>
      <c r="AC24" s="217" t="s">
        <v>1297</v>
      </c>
      <c r="AD24" s="296">
        <f>C75</f>
        <v>0</v>
      </c>
      <c r="AE24" s="217" t="s">
        <v>1258</v>
      </c>
      <c r="AF24" s="215" t="s">
        <v>2761</v>
      </c>
      <c r="AG24" s="216" t="str">
        <f ca="1">IF($AG$9="Quote","Included","")</f>
        <v/>
      </c>
      <c r="AH24">
        <v>18</v>
      </c>
      <c r="AI24" t="s">
        <v>3618</v>
      </c>
      <c r="AJ24" s="436" t="str">
        <f t="shared" ca="1" si="6"/>
        <v/>
      </c>
    </row>
    <row r="25" spans="1:36" x14ac:dyDescent="0.25">
      <c r="A25" s="460" t="s">
        <v>2896</v>
      </c>
      <c r="B25" s="215" t="s">
        <v>2923</v>
      </c>
      <c r="C25" s="462"/>
      <c r="D25" s="475">
        <v>17</v>
      </c>
      <c r="E25" s="225" t="s">
        <v>1077</v>
      </c>
      <c r="F25" s="225" t="s">
        <v>2810</v>
      </c>
      <c r="G25" s="225"/>
      <c r="H25" s="226"/>
      <c r="I25" s="226"/>
      <c r="J25" s="226">
        <f t="shared" ref="J25" si="7">IF(H25=I25,0,1)</f>
        <v>0</v>
      </c>
      <c r="K25" s="226" t="s">
        <v>1324</v>
      </c>
      <c r="L25" s="226">
        <f t="shared" si="0"/>
        <v>0</v>
      </c>
      <c r="M25" s="225" t="str">
        <f t="shared" si="1"/>
        <v/>
      </c>
      <c r="N25" s="227" t="str">
        <f t="shared" si="2"/>
        <v/>
      </c>
      <c r="O25" s="53">
        <v>171500</v>
      </c>
      <c r="P25" s="53">
        <v>1715</v>
      </c>
      <c r="Q25" s="41" t="s">
        <v>365</v>
      </c>
      <c r="R25" s="41" t="s">
        <v>3006</v>
      </c>
      <c r="AC25" s="217" t="s">
        <v>1298</v>
      </c>
      <c r="AD25" s="302" t="str">
        <f>I20</f>
        <v/>
      </c>
      <c r="AE25" s="217" t="s">
        <v>1259</v>
      </c>
      <c r="AF25" s="215" t="s">
        <v>2759</v>
      </c>
      <c r="AG25" s="216" t="str">
        <f ca="1">IF($AG$9="Quote","Included","")</f>
        <v/>
      </c>
      <c r="AH25">
        <v>19</v>
      </c>
      <c r="AI25" t="s">
        <v>3619</v>
      </c>
      <c r="AJ25" s="415" t="str">
        <f t="shared" ca="1" si="6"/>
        <v/>
      </c>
    </row>
    <row r="26" spans="1:36" x14ac:dyDescent="0.25">
      <c r="A26" s="460" t="s">
        <v>3473</v>
      </c>
      <c r="B26" s="231" t="s">
        <v>1038</v>
      </c>
      <c r="C26" s="465"/>
      <c r="D26" s="475">
        <v>18</v>
      </c>
      <c r="E26" s="225" t="s">
        <v>1078</v>
      </c>
      <c r="F26" s="225" t="s">
        <v>2826</v>
      </c>
      <c r="G26" s="225" t="s">
        <v>2454</v>
      </c>
      <c r="H26" s="226">
        <f>IF(U361="No","",$C$140)</f>
        <v>0</v>
      </c>
      <c r="I26" s="226" t="s">
        <v>1398</v>
      </c>
      <c r="J26" s="226">
        <f>IF(H26="",0,IF(H26=I26,0,1))</f>
        <v>1</v>
      </c>
      <c r="K26" s="226" t="s">
        <v>1324</v>
      </c>
      <c r="L26" s="226">
        <f t="shared" si="0"/>
        <v>1</v>
      </c>
      <c r="M26" s="225" t="str">
        <f t="shared" si="1"/>
        <v>Premises has wood burning device</v>
      </c>
      <c r="N26" s="227" t="str">
        <f t="shared" si="2"/>
        <v/>
      </c>
      <c r="O26" s="53">
        <v>769200</v>
      </c>
      <c r="P26" s="53">
        <v>7692</v>
      </c>
      <c r="Q26" s="444" t="s">
        <v>366</v>
      </c>
      <c r="R26" s="444" t="s">
        <v>366</v>
      </c>
      <c r="AC26" s="217" t="s">
        <v>1299</v>
      </c>
      <c r="AD26" s="296">
        <f>C82</f>
        <v>0</v>
      </c>
      <c r="AE26" s="217" t="s">
        <v>1260</v>
      </c>
      <c r="AF26" s="215" t="s">
        <v>2757</v>
      </c>
      <c r="AG26" s="289" t="str">
        <f ca="1">IF($AG$9="Quote",50000,"")</f>
        <v/>
      </c>
      <c r="AH26">
        <v>20</v>
      </c>
      <c r="AI26" t="s">
        <v>2683</v>
      </c>
      <c r="AJ26" s="415" t="str">
        <f t="shared" ca="1" si="6"/>
        <v/>
      </c>
    </row>
    <row r="27" spans="1:36" x14ac:dyDescent="0.25">
      <c r="A27" s="460" t="s">
        <v>3474</v>
      </c>
      <c r="B27" s="231" t="s">
        <v>1039</v>
      </c>
      <c r="C27" s="465"/>
      <c r="D27" s="475">
        <v>19</v>
      </c>
      <c r="E27" s="225" t="s">
        <v>1079</v>
      </c>
      <c r="F27" s="225" t="s">
        <v>2827</v>
      </c>
      <c r="G27" s="225" t="s">
        <v>2597</v>
      </c>
      <c r="H27" s="226" t="str">
        <f>IF(U361="No","",IF(C141="","",C141))</f>
        <v/>
      </c>
      <c r="I27" s="226" t="s">
        <v>1398</v>
      </c>
      <c r="J27" s="226">
        <f>IF(H27="",0,IF(H27=I27,0,1))</f>
        <v>0</v>
      </c>
      <c r="K27" s="226" t="s">
        <v>1324</v>
      </c>
      <c r="L27" s="226">
        <f t="shared" si="0"/>
        <v>0</v>
      </c>
      <c r="M27" s="225" t="str">
        <f t="shared" si="1"/>
        <v/>
      </c>
      <c r="N27" s="227" t="str">
        <f t="shared" si="2"/>
        <v/>
      </c>
      <c r="O27" s="53">
        <v>175300</v>
      </c>
      <c r="P27" s="53">
        <v>1753</v>
      </c>
      <c r="Q27" s="41" t="s">
        <v>367</v>
      </c>
      <c r="R27" s="41" t="s">
        <v>1555</v>
      </c>
      <c r="AC27" s="217" t="s">
        <v>1112</v>
      </c>
      <c r="AD27" s="308" t="str">
        <f>U102</f>
        <v>Class C</v>
      </c>
      <c r="AE27" s="217" t="s">
        <v>2654</v>
      </c>
      <c r="AF27" t="s">
        <v>3628</v>
      </c>
      <c r="AG27" s="224" t="str">
        <f ca="1">IF(AG9="Quote",Calculator!G23,"")</f>
        <v/>
      </c>
      <c r="AH27">
        <v>21</v>
      </c>
      <c r="AI27" t="s">
        <v>2684</v>
      </c>
      <c r="AJ27" s="415" t="str">
        <f t="shared" ca="1" si="6"/>
        <v/>
      </c>
    </row>
    <row r="28" spans="1:36" x14ac:dyDescent="0.25">
      <c r="A28" s="460" t="s">
        <v>3475</v>
      </c>
      <c r="B28" s="231" t="s">
        <v>1040</v>
      </c>
      <c r="C28" s="465"/>
      <c r="D28" s="475">
        <v>20</v>
      </c>
      <c r="E28" s="225" t="s">
        <v>2804</v>
      </c>
      <c r="F28" s="225" t="s">
        <v>2828</v>
      </c>
      <c r="G28" s="225" t="s">
        <v>2593</v>
      </c>
      <c r="H28" s="228" t="str">
        <f>IF(U361="No","",U246)</f>
        <v>Decline</v>
      </c>
      <c r="I28" s="228" t="s">
        <v>2590</v>
      </c>
      <c r="J28" s="226">
        <f>IF(H28="",0,IF(H28=I28,0,1))</f>
        <v>1</v>
      </c>
      <c r="K28" s="226" t="s">
        <v>1386</v>
      </c>
      <c r="L28" s="226">
        <f t="shared" si="0"/>
        <v>0</v>
      </c>
      <c r="M28" s="225" t="str">
        <f t="shared" si="1"/>
        <v>Heating type not acceptable</v>
      </c>
      <c r="N28" s="227" t="str">
        <f t="shared" si="2"/>
        <v>Heating type not acceptable</v>
      </c>
      <c r="O28" s="53">
        <v>175700</v>
      </c>
      <c r="P28" s="53">
        <v>1757</v>
      </c>
      <c r="Q28" s="444" t="s">
        <v>368</v>
      </c>
      <c r="R28" s="444" t="s">
        <v>3007</v>
      </c>
      <c r="AC28" s="217" t="s">
        <v>1123</v>
      </c>
      <c r="AD28" s="308">
        <f>U89</f>
        <v>3</v>
      </c>
      <c r="AE28" s="217" t="s">
        <v>1261</v>
      </c>
      <c r="AF28" s="215" t="s">
        <v>2857</v>
      </c>
      <c r="AG28" s="216" t="str">
        <f ca="1">IF(AG9="Quote","Included","")</f>
        <v/>
      </c>
      <c r="AH28">
        <v>22</v>
      </c>
      <c r="AI28" t="s">
        <v>2685</v>
      </c>
      <c r="AJ28" s="415" t="str">
        <f t="shared" ca="1" si="6"/>
        <v/>
      </c>
    </row>
    <row r="29" spans="1:36" x14ac:dyDescent="0.25">
      <c r="A29" s="460" t="s">
        <v>3476</v>
      </c>
      <c r="B29" s="231" t="s">
        <v>2924</v>
      </c>
      <c r="C29" s="465"/>
      <c r="D29" s="475">
        <v>21</v>
      </c>
      <c r="E29" s="225" t="s">
        <v>1080</v>
      </c>
      <c r="F29" s="225"/>
      <c r="G29" s="225"/>
      <c r="H29" s="226"/>
      <c r="I29" s="226"/>
      <c r="J29" s="226">
        <v>0</v>
      </c>
      <c r="K29" s="226" t="s">
        <v>1324</v>
      </c>
      <c r="L29" s="226">
        <f t="shared" si="0"/>
        <v>0</v>
      </c>
      <c r="M29" s="225" t="str">
        <f t="shared" si="1"/>
        <v/>
      </c>
      <c r="N29" s="227" t="str">
        <f t="shared" si="2"/>
        <v/>
      </c>
      <c r="O29" s="53">
        <v>739401</v>
      </c>
      <c r="P29" s="53">
        <v>7394</v>
      </c>
      <c r="Q29" s="41" t="s">
        <v>369</v>
      </c>
      <c r="R29" s="41" t="s">
        <v>3008</v>
      </c>
      <c r="AC29" s="217" t="s">
        <v>1215</v>
      </c>
      <c r="AD29" s="297">
        <f>U135</f>
        <v>0</v>
      </c>
      <c r="AE29" s="217" t="s">
        <v>1262</v>
      </c>
      <c r="AF29" s="215" t="s">
        <v>2738</v>
      </c>
      <c r="AG29" s="289" t="str">
        <f ca="1">IF($AG$9="Quote",$AG$17,"")</f>
        <v/>
      </c>
      <c r="AH29">
        <v>23</v>
      </c>
      <c r="AI29" t="s">
        <v>2686</v>
      </c>
      <c r="AJ29" s="415" t="str">
        <f t="shared" ca="1" si="6"/>
        <v/>
      </c>
    </row>
    <row r="30" spans="1:36" x14ac:dyDescent="0.25">
      <c r="A30" s="460" t="s">
        <v>3477</v>
      </c>
      <c r="B30" s="231" t="s">
        <v>2925</v>
      </c>
      <c r="C30" s="465"/>
      <c r="D30" s="475">
        <v>22</v>
      </c>
      <c r="E30" s="225" t="s">
        <v>3402</v>
      </c>
      <c r="F30" s="225" t="s">
        <v>3403</v>
      </c>
      <c r="G30" s="225" t="s">
        <v>3404</v>
      </c>
      <c r="H30" s="226" t="str">
        <f>IF(U361="Yes",IF(C124="No",LEFT(C125,3),LEFT(C7,3)),LEFT(C7,3))</f>
        <v/>
      </c>
      <c r="I30" s="226" t="str">
        <f>IFERROR(VLOOKUP(H30,CMIG_NoWriteZones!$A$2:$B$339,1,FALSE),"Postal Code OK")</f>
        <v>Postal Code OK</v>
      </c>
      <c r="J30" s="226">
        <f>IF(I30="Postal Code OK",0,1)</f>
        <v>0</v>
      </c>
      <c r="K30" s="226" t="s">
        <v>1324</v>
      </c>
      <c r="L30" s="226">
        <f t="shared" si="0"/>
        <v>0</v>
      </c>
      <c r="M30" s="225" t="str">
        <f t="shared" si="1"/>
        <v/>
      </c>
      <c r="N30" s="227" t="str">
        <f t="shared" si="2"/>
        <v/>
      </c>
      <c r="O30" s="53">
        <v>739402</v>
      </c>
      <c r="P30" s="53">
        <v>7394</v>
      </c>
      <c r="Q30" s="41" t="s">
        <v>369</v>
      </c>
      <c r="R30" s="41" t="s">
        <v>3009</v>
      </c>
      <c r="AC30" s="217" t="s">
        <v>1300</v>
      </c>
      <c r="AD30" s="297">
        <f>U140</f>
        <v>0</v>
      </c>
      <c r="AE30" s="217" t="s">
        <v>1263</v>
      </c>
      <c r="AF30" s="215" t="s">
        <v>2755</v>
      </c>
      <c r="AG30" s="216" t="str">
        <f ca="1">IF(AG9="Quote","Refer","")</f>
        <v/>
      </c>
      <c r="AH30">
        <v>24</v>
      </c>
      <c r="AI30" t="s">
        <v>2687</v>
      </c>
      <c r="AJ30" s="415" t="str">
        <f t="shared" ca="1" si="6"/>
        <v/>
      </c>
    </row>
    <row r="31" spans="1:36" ht="16.5" customHeight="1" x14ac:dyDescent="0.25">
      <c r="A31" s="460" t="s">
        <v>3478</v>
      </c>
      <c r="B31" s="231" t="s">
        <v>2926</v>
      </c>
      <c r="C31" s="463"/>
      <c r="D31" s="475">
        <v>23</v>
      </c>
      <c r="E31" s="225" t="s">
        <v>1081</v>
      </c>
      <c r="F31" s="225" t="s">
        <v>2829</v>
      </c>
      <c r="G31" s="225" t="s">
        <v>1032</v>
      </c>
      <c r="H31" s="226">
        <f>C14</f>
        <v>0</v>
      </c>
      <c r="I31" s="226">
        <v>3</v>
      </c>
      <c r="J31" s="226">
        <f>IF(H31&gt;=I31,0,1)</f>
        <v>1</v>
      </c>
      <c r="K31" s="226" t="s">
        <v>1324</v>
      </c>
      <c r="L31" s="226">
        <f t="shared" si="0"/>
        <v>1</v>
      </c>
      <c r="M31" s="225" t="str">
        <f t="shared" si="1"/>
        <v>Client does not  have minimum trade experience</v>
      </c>
      <c r="N31" s="227" t="str">
        <f t="shared" si="2"/>
        <v/>
      </c>
      <c r="O31" s="441">
        <v>73500</v>
      </c>
      <c r="P31" s="441" t="s">
        <v>502</v>
      </c>
      <c r="Q31" s="443" t="s">
        <v>370</v>
      </c>
      <c r="R31" s="443" t="s">
        <v>3010</v>
      </c>
      <c r="AC31" s="217" t="s">
        <v>1113</v>
      </c>
      <c r="AD31" s="297" t="str">
        <f>U311</f>
        <v>No</v>
      </c>
      <c r="AE31" s="217" t="s">
        <v>1264</v>
      </c>
      <c r="AF31" s="215" t="s">
        <v>1264</v>
      </c>
      <c r="AG31" s="216" t="str">
        <f ca="1">IF($AG$9="Quote","Refer","")</f>
        <v/>
      </c>
      <c r="AH31">
        <v>25</v>
      </c>
      <c r="AI31" t="s">
        <v>2789</v>
      </c>
      <c r="AJ31" s="415" t="str">
        <f t="shared" ca="1" si="6"/>
        <v/>
      </c>
    </row>
    <row r="32" spans="1:36" x14ac:dyDescent="0.25">
      <c r="A32" s="460" t="s">
        <v>2897</v>
      </c>
      <c r="B32" s="215" t="s">
        <v>2927</v>
      </c>
      <c r="C32" s="462"/>
      <c r="D32" s="475">
        <v>24</v>
      </c>
      <c r="E32" s="225" t="s">
        <v>1082</v>
      </c>
      <c r="F32" s="225" t="s">
        <v>2830</v>
      </c>
      <c r="G32" s="225" t="s">
        <v>1402</v>
      </c>
      <c r="H32" s="318">
        <f>C15</f>
        <v>0</v>
      </c>
      <c r="I32" s="318">
        <v>10</v>
      </c>
      <c r="J32" s="226">
        <f>IF(H32&lt;=I32,0,1)</f>
        <v>0</v>
      </c>
      <c r="K32" s="226" t="s">
        <v>1324</v>
      </c>
      <c r="L32" s="226">
        <f t="shared" si="0"/>
        <v>0</v>
      </c>
      <c r="M32" s="225" t="str">
        <f t="shared" si="1"/>
        <v/>
      </c>
      <c r="N32" s="227" t="str">
        <f t="shared" si="2"/>
        <v/>
      </c>
      <c r="O32" s="53">
        <v>175400</v>
      </c>
      <c r="P32" s="53">
        <v>1754</v>
      </c>
      <c r="Q32" s="41" t="s">
        <v>371</v>
      </c>
      <c r="R32" s="41" t="s">
        <v>3011</v>
      </c>
      <c r="AC32" s="217" t="s">
        <v>1115</v>
      </c>
      <c r="AD32" s="297" t="str">
        <f>U317</f>
        <v>No</v>
      </c>
      <c r="AE32" s="217" t="s">
        <v>1215</v>
      </c>
      <c r="AF32" s="215" t="s">
        <v>201</v>
      </c>
      <c r="AG32" s="289" t="str">
        <f ca="1">IF($AG$9="Quote",Calculator!C36-AG33,"")</f>
        <v/>
      </c>
      <c r="AH32">
        <v>26</v>
      </c>
      <c r="AI32" t="s">
        <v>2688</v>
      </c>
      <c r="AJ32" s="415" t="str">
        <f t="shared" ca="1" si="6"/>
        <v/>
      </c>
    </row>
    <row r="33" spans="1:36" x14ac:dyDescent="0.25">
      <c r="A33" s="460" t="s">
        <v>3479</v>
      </c>
      <c r="B33" s="231" t="s">
        <v>1041</v>
      </c>
      <c r="C33" s="465"/>
      <c r="D33" s="475">
        <v>25</v>
      </c>
      <c r="E33" s="225" t="s">
        <v>1083</v>
      </c>
      <c r="F33" s="225" t="s">
        <v>2831</v>
      </c>
      <c r="G33" s="225" t="s">
        <v>3661</v>
      </c>
      <c r="H33" s="228">
        <f>C12</f>
        <v>0</v>
      </c>
      <c r="I33" s="228" t="s">
        <v>1398</v>
      </c>
      <c r="J33" s="226">
        <f>IF(H33="Yes",1,0)</f>
        <v>0</v>
      </c>
      <c r="K33" s="226" t="s">
        <v>1324</v>
      </c>
      <c r="L33" s="226">
        <f t="shared" si="0"/>
        <v>0</v>
      </c>
      <c r="M33" s="225" t="str">
        <f t="shared" si="1"/>
        <v/>
      </c>
      <c r="N33" s="227" t="str">
        <f t="shared" si="2"/>
        <v/>
      </c>
      <c r="O33" s="53">
        <v>171100</v>
      </c>
      <c r="P33" s="53">
        <v>1711</v>
      </c>
      <c r="Q33" s="444" t="s">
        <v>372</v>
      </c>
      <c r="R33" s="444" t="s">
        <v>3012</v>
      </c>
      <c r="AC33" s="217" t="s">
        <v>1116</v>
      </c>
      <c r="AD33" s="297" t="str">
        <f>U326</f>
        <v>No</v>
      </c>
      <c r="AE33" s="217" t="s">
        <v>3462</v>
      </c>
      <c r="AF33" s="215" t="s">
        <v>3456</v>
      </c>
      <c r="AG33" s="289" t="str">
        <f ca="1">IF($AG$9="Quote",IF(C89=0,0,C89),"")</f>
        <v/>
      </c>
      <c r="AH33">
        <v>27</v>
      </c>
      <c r="AI33" t="s">
        <v>2689</v>
      </c>
      <c r="AJ33" s="415" t="str">
        <f t="shared" ca="1" si="6"/>
        <v/>
      </c>
    </row>
    <row r="34" spans="1:36" ht="38.25" x14ac:dyDescent="0.25">
      <c r="A34" s="460" t="s">
        <v>3480</v>
      </c>
      <c r="B34" s="231" t="s">
        <v>1042</v>
      </c>
      <c r="C34" s="465"/>
      <c r="D34" s="475">
        <v>26</v>
      </c>
      <c r="E34" s="225" t="s">
        <v>1084</v>
      </c>
      <c r="F34" s="225" t="s">
        <v>2832</v>
      </c>
      <c r="G34" s="225" t="s">
        <v>2452</v>
      </c>
      <c r="H34" s="232">
        <f>SUM(C19,C26,C33,C40,C47,C54,C61,C68,C75,C82)</f>
        <v>0</v>
      </c>
      <c r="I34" s="232">
        <v>2000000</v>
      </c>
      <c r="J34" s="226">
        <f>IF(H34&lt;=I34,0,1)</f>
        <v>0</v>
      </c>
      <c r="K34" s="226" t="s">
        <v>1324</v>
      </c>
      <c r="L34" s="226">
        <f t="shared" si="0"/>
        <v>0</v>
      </c>
      <c r="M34" s="225" t="str">
        <f t="shared" si="1"/>
        <v/>
      </c>
      <c r="N34" s="227" t="str">
        <f t="shared" si="2"/>
        <v/>
      </c>
      <c r="O34" s="440">
        <v>177500</v>
      </c>
      <c r="P34" s="440">
        <v>1775</v>
      </c>
      <c r="Q34" s="443" t="s">
        <v>373</v>
      </c>
      <c r="R34" s="443" t="s">
        <v>3013</v>
      </c>
      <c r="AC34" s="217" t="s">
        <v>1193</v>
      </c>
      <c r="AD34" s="297" t="str">
        <f>U334</f>
        <v>No</v>
      </c>
      <c r="AE34" s="217" t="s">
        <v>2663</v>
      </c>
      <c r="AF34" s="215" t="s">
        <v>2677</v>
      </c>
      <c r="AG34" s="224" t="str">
        <f ca="1">IF($AG$9="Quote","Included","")</f>
        <v/>
      </c>
      <c r="AH34">
        <v>28</v>
      </c>
      <c r="AI34" t="s">
        <v>2690</v>
      </c>
      <c r="AJ34" s="415" t="str">
        <f t="shared" ca="1" si="6"/>
        <v/>
      </c>
    </row>
    <row r="35" spans="1:36" ht="25.5" x14ac:dyDescent="0.25">
      <c r="A35" s="460" t="s">
        <v>3481</v>
      </c>
      <c r="B35" s="231" t="s">
        <v>1043</v>
      </c>
      <c r="C35" s="465"/>
      <c r="D35" s="406">
        <v>27</v>
      </c>
      <c r="E35" s="225" t="s">
        <v>1085</v>
      </c>
      <c r="F35" s="225" t="s">
        <v>2833</v>
      </c>
      <c r="G35" s="225" t="s">
        <v>2457</v>
      </c>
      <c r="H35" s="232"/>
      <c r="I35" s="232" t="s">
        <v>1398</v>
      </c>
      <c r="J35" s="226">
        <f>IF(H35&lt;=I35,0,1)</f>
        <v>0</v>
      </c>
      <c r="K35" s="226" t="s">
        <v>1324</v>
      </c>
      <c r="L35" s="226">
        <f t="shared" si="0"/>
        <v>0</v>
      </c>
      <c r="M35" s="225" t="str">
        <f t="shared" si="1"/>
        <v/>
      </c>
      <c r="N35" s="227" t="str">
        <f t="shared" si="2"/>
        <v/>
      </c>
      <c r="O35" s="53">
        <v>177800</v>
      </c>
      <c r="P35" s="53">
        <v>1778</v>
      </c>
      <c r="Q35" s="444" t="s">
        <v>374</v>
      </c>
      <c r="R35" s="444" t="s">
        <v>1589</v>
      </c>
      <c r="AC35" s="217" t="s">
        <v>1117</v>
      </c>
      <c r="AD35" s="418" t="str">
        <f>U339</f>
        <v>No</v>
      </c>
      <c r="AE35" s="217" t="s">
        <v>3443</v>
      </c>
      <c r="AF35" t="s">
        <v>3618</v>
      </c>
      <c r="AG35" s="229" t="str">
        <f ca="1">IF($AG$9="Quote",90%,"")</f>
        <v/>
      </c>
      <c r="AH35">
        <v>29</v>
      </c>
      <c r="AI35" t="s">
        <v>2691</v>
      </c>
      <c r="AJ35" s="436" t="str">
        <f t="shared" ca="1" si="6"/>
        <v/>
      </c>
    </row>
    <row r="36" spans="1:36" x14ac:dyDescent="0.25">
      <c r="A36" s="460" t="s">
        <v>3482</v>
      </c>
      <c r="B36" s="231" t="s">
        <v>2928</v>
      </c>
      <c r="C36" s="465"/>
      <c r="D36" s="475">
        <v>28</v>
      </c>
      <c r="E36" s="225" t="s">
        <v>1086</v>
      </c>
      <c r="F36" s="225" t="s">
        <v>2834</v>
      </c>
      <c r="G36" s="225" t="s">
        <v>1407</v>
      </c>
      <c r="H36" s="226">
        <f ca="1">IF(U361="No","",YEAR(NOW())-C137)</f>
        <v>2022</v>
      </c>
      <c r="I36" s="226">
        <v>25</v>
      </c>
      <c r="J36" s="226">
        <f ca="1">IF(H36="",0,IF(H36&lt;=I36,0,1))</f>
        <v>1</v>
      </c>
      <c r="K36" s="226" t="s">
        <v>1386</v>
      </c>
      <c r="L36" s="226">
        <f t="shared" ref="L36:L39" ca="1" si="8">IF(J36=0,0,IF(K36="Y",0,1))</f>
        <v>0</v>
      </c>
      <c r="M36" s="225" t="str">
        <f t="shared" ca="1" si="1"/>
        <v>Property is &gt; 25 years</v>
      </c>
      <c r="N36" s="227" t="str">
        <f t="shared" ca="1" si="2"/>
        <v>Property is &gt; 25 years</v>
      </c>
      <c r="O36" s="53">
        <v>176200</v>
      </c>
      <c r="P36" s="53">
        <v>1762</v>
      </c>
      <c r="Q36" s="41" t="s">
        <v>375</v>
      </c>
      <c r="R36" s="41" t="s">
        <v>3014</v>
      </c>
      <c r="AC36" s="217" t="s">
        <v>283</v>
      </c>
      <c r="AD36" s="297">
        <f>$U$347</f>
        <v>500</v>
      </c>
      <c r="AE36" s="217" t="s">
        <v>1216</v>
      </c>
      <c r="AF36" s="215" t="s">
        <v>2678</v>
      </c>
      <c r="AG36" s="289" t="str">
        <f ca="1">IF($AG$9="Quote",Calculator!$J$37,"")</f>
        <v/>
      </c>
      <c r="AH36">
        <v>30</v>
      </c>
      <c r="AI36" t="s">
        <v>2692</v>
      </c>
      <c r="AJ36" s="415" t="str">
        <f t="shared" ca="1" si="6"/>
        <v/>
      </c>
    </row>
    <row r="37" spans="1:36" ht="25.5" x14ac:dyDescent="0.25">
      <c r="A37" s="460" t="s">
        <v>3483</v>
      </c>
      <c r="B37" s="231" t="s">
        <v>2929</v>
      </c>
      <c r="C37" s="465"/>
      <c r="D37" s="475">
        <v>29</v>
      </c>
      <c r="E37" s="225" t="s">
        <v>1087</v>
      </c>
      <c r="F37" s="225" t="s">
        <v>2835</v>
      </c>
      <c r="G37" s="225" t="s">
        <v>2455</v>
      </c>
      <c r="H37" s="226">
        <f>IF(U361="No","",C138)</f>
        <v>0</v>
      </c>
      <c r="I37" s="226" t="s">
        <v>1398</v>
      </c>
      <c r="J37" s="226">
        <f>IF(H37="",0,IF(H37=I37,0,1))</f>
        <v>1</v>
      </c>
      <c r="K37" s="226" t="s">
        <v>1324</v>
      </c>
      <c r="L37" s="226">
        <f t="shared" si="8"/>
        <v>1</v>
      </c>
      <c r="M37" s="225" t="str">
        <f t="shared" si="1"/>
        <v>Vacant property</v>
      </c>
      <c r="N37" s="227" t="str">
        <f t="shared" si="2"/>
        <v/>
      </c>
      <c r="O37" s="53">
        <v>183100</v>
      </c>
      <c r="P37" s="53">
        <v>1831</v>
      </c>
      <c r="Q37" s="444" t="s">
        <v>376</v>
      </c>
      <c r="R37" s="444" t="s">
        <v>3015</v>
      </c>
      <c r="AC37" s="217" t="s">
        <v>1118</v>
      </c>
      <c r="AD37" s="216"/>
      <c r="AE37" s="217" t="s">
        <v>2664</v>
      </c>
      <c r="AF37" s="215" t="s">
        <v>2789</v>
      </c>
      <c r="AG37" s="224" t="str">
        <f ca="1">IF($AG$9="Quote","Included","")</f>
        <v/>
      </c>
      <c r="AH37">
        <v>31</v>
      </c>
      <c r="AI37" t="s">
        <v>2693</v>
      </c>
      <c r="AJ37" s="415" t="str">
        <f t="shared" ca="1" si="6"/>
        <v/>
      </c>
    </row>
    <row r="38" spans="1:36" x14ac:dyDescent="0.25">
      <c r="A38" s="460" t="s">
        <v>3484</v>
      </c>
      <c r="B38" s="231" t="s">
        <v>2930</v>
      </c>
      <c r="C38" s="463"/>
      <c r="D38" s="406">
        <v>30</v>
      </c>
      <c r="E38" s="225" t="s">
        <v>1088</v>
      </c>
      <c r="F38" s="225" t="s">
        <v>2836</v>
      </c>
      <c r="G38" s="225" t="s">
        <v>2631</v>
      </c>
      <c r="H38" s="226" t="s">
        <v>1114</v>
      </c>
      <c r="I38" s="226" t="s">
        <v>1114</v>
      </c>
      <c r="J38" s="226">
        <f t="shared" ref="J38" si="9">IF(H38&lt;=I38,0,1)</f>
        <v>0</v>
      </c>
      <c r="K38" s="226" t="s">
        <v>1324</v>
      </c>
      <c r="L38" s="226">
        <f t="shared" si="8"/>
        <v>0</v>
      </c>
      <c r="M38" s="225" t="str">
        <f t="shared" si="1"/>
        <v/>
      </c>
      <c r="N38" s="227" t="str">
        <f t="shared" si="2"/>
        <v/>
      </c>
      <c r="O38" s="53">
        <v>999900</v>
      </c>
      <c r="P38" s="53">
        <v>9999</v>
      </c>
      <c r="Q38" s="41" t="s">
        <v>377</v>
      </c>
      <c r="R38" s="41" t="e">
        <v>#N/A</v>
      </c>
      <c r="AC38" s="217" t="s">
        <v>1301</v>
      </c>
      <c r="AD38" s="297">
        <f>U120</f>
        <v>0</v>
      </c>
      <c r="AE38" s="217" t="s">
        <v>3660</v>
      </c>
      <c r="AF38" s="215" t="s">
        <v>3658</v>
      </c>
      <c r="AG38" s="224" t="str">
        <f ca="1">IF($AG$9="Quote","Included","")</f>
        <v/>
      </c>
      <c r="AH38">
        <v>32</v>
      </c>
      <c r="AI38" t="s">
        <v>2808</v>
      </c>
      <c r="AJ38" s="455" t="str">
        <f t="shared" ca="1" si="6"/>
        <v/>
      </c>
    </row>
    <row r="39" spans="1:36" ht="25.5" x14ac:dyDescent="0.25">
      <c r="A39" s="460" t="s">
        <v>2898</v>
      </c>
      <c r="B39" s="215" t="s">
        <v>2931</v>
      </c>
      <c r="C39" s="462"/>
      <c r="D39" s="406">
        <v>31</v>
      </c>
      <c r="E39" s="225" t="s">
        <v>1089</v>
      </c>
      <c r="F39" s="225" t="s">
        <v>2837</v>
      </c>
      <c r="G39" s="225" t="s">
        <v>2454</v>
      </c>
      <c r="H39" s="226">
        <f>IF(U361="No","",$C$140)</f>
        <v>0</v>
      </c>
      <c r="I39" s="226" t="s">
        <v>1398</v>
      </c>
      <c r="J39" s="226">
        <f>IF(H39="",0,IF(H39=I39,0,1))</f>
        <v>1</v>
      </c>
      <c r="K39" s="226" t="s">
        <v>1324</v>
      </c>
      <c r="L39" s="226">
        <f t="shared" si="8"/>
        <v>1</v>
      </c>
      <c r="M39" s="225" t="str">
        <f t="shared" si="1"/>
        <v>Presence of woodstoves, space heaters, commercial DFF in building</v>
      </c>
      <c r="N39" s="227" t="str">
        <f t="shared" si="2"/>
        <v/>
      </c>
      <c r="O39" s="53">
        <v>152100</v>
      </c>
      <c r="P39" s="53">
        <v>1521</v>
      </c>
      <c r="Q39" s="444" t="s">
        <v>489</v>
      </c>
      <c r="R39" s="444" t="s">
        <v>3016</v>
      </c>
      <c r="AC39" s="217" t="s">
        <v>1356</v>
      </c>
      <c r="AD39" s="304">
        <f>U121</f>
        <v>0</v>
      </c>
      <c r="AE39" s="217" t="s">
        <v>1217</v>
      </c>
      <c r="AF39" s="215" t="s">
        <v>1217</v>
      </c>
      <c r="AG39" s="224" t="str">
        <f ca="1">IF($AG$9="Quote",2500,"")</f>
        <v/>
      </c>
      <c r="AH39">
        <v>33</v>
      </c>
      <c r="AI39" t="s">
        <v>2694</v>
      </c>
      <c r="AJ39" s="415" t="str">
        <f t="shared" ca="1" si="6"/>
        <v/>
      </c>
    </row>
    <row r="40" spans="1:36" x14ac:dyDescent="0.25">
      <c r="A40" s="460" t="s">
        <v>3485</v>
      </c>
      <c r="B40" s="231" t="s">
        <v>1044</v>
      </c>
      <c r="C40" s="465"/>
      <c r="D40" s="475">
        <v>32</v>
      </c>
      <c r="E40" s="225" t="s">
        <v>1325</v>
      </c>
      <c r="F40" s="225" t="s">
        <v>2838</v>
      </c>
      <c r="G40" s="225" t="s">
        <v>1405</v>
      </c>
      <c r="H40" s="318">
        <f>SUM(C21:C23)</f>
        <v>0</v>
      </c>
      <c r="I40" s="445">
        <f>IF(Calculator!I10=1,20,100)</f>
        <v>100</v>
      </c>
      <c r="J40" s="226">
        <f>IF(H40&lt;=I40,0,1)</f>
        <v>0</v>
      </c>
      <c r="K40" s="226" t="s">
        <v>1324</v>
      </c>
      <c r="L40" s="226">
        <f t="shared" ref="L40:L49" si="10">IF(J40=0,0,IF(K40="Y",0,1))</f>
        <v>0</v>
      </c>
      <c r="M40" s="225" t="str">
        <f t="shared" si="1"/>
        <v/>
      </c>
      <c r="N40" s="227" t="str">
        <f t="shared" si="2"/>
        <v/>
      </c>
      <c r="O40" s="53">
        <v>152400</v>
      </c>
      <c r="P40" s="53">
        <v>1524</v>
      </c>
      <c r="Q40" s="41" t="s">
        <v>491</v>
      </c>
      <c r="R40" s="41" t="s">
        <v>3017</v>
      </c>
      <c r="AC40" s="217" t="s">
        <v>1302</v>
      </c>
      <c r="AD40" s="297">
        <f>U125</f>
        <v>0</v>
      </c>
      <c r="AE40" s="217" t="s">
        <v>3600</v>
      </c>
      <c r="AF40" t="s">
        <v>3620</v>
      </c>
      <c r="AG40" s="289" t="str">
        <f ca="1">IF($AG$9="Quote",Calculator!$J$39,"")</f>
        <v/>
      </c>
      <c r="AH40">
        <v>34</v>
      </c>
      <c r="AI40" t="s">
        <v>2695</v>
      </c>
      <c r="AJ40" s="415" t="str">
        <f t="shared" ca="1" si="6"/>
        <v/>
      </c>
    </row>
    <row r="41" spans="1:36" ht="25.5" x14ac:dyDescent="0.25">
      <c r="A41" s="460" t="s">
        <v>3486</v>
      </c>
      <c r="B41" s="231" t="s">
        <v>1045</v>
      </c>
      <c r="C41" s="465"/>
      <c r="D41" s="475">
        <v>33</v>
      </c>
      <c r="E41" s="225" t="s">
        <v>1327</v>
      </c>
      <c r="F41" s="225" t="s">
        <v>2839</v>
      </c>
      <c r="G41" s="225" t="s">
        <v>1405</v>
      </c>
      <c r="H41" s="318">
        <f>SUM(C28:C30)</f>
        <v>0</v>
      </c>
      <c r="I41" s="445">
        <f>IF(Calculator!I11=1,20,100)</f>
        <v>100</v>
      </c>
      <c r="J41" s="226">
        <f t="shared" ref="J41:J49" si="11">IF(H41&lt;=I41,0,1)</f>
        <v>0</v>
      </c>
      <c r="K41" s="226" t="s">
        <v>1324</v>
      </c>
      <c r="L41" s="226">
        <f t="shared" si="10"/>
        <v>0</v>
      </c>
      <c r="M41" s="225" t="str">
        <f t="shared" si="1"/>
        <v/>
      </c>
      <c r="N41" s="227" t="str">
        <f t="shared" si="2"/>
        <v/>
      </c>
      <c r="O41" s="53">
        <v>152600</v>
      </c>
      <c r="P41" s="53">
        <v>1526</v>
      </c>
      <c r="Q41" s="444" t="s">
        <v>492</v>
      </c>
      <c r="R41" s="444" t="s">
        <v>1498</v>
      </c>
      <c r="AC41" s="217" t="s">
        <v>1031</v>
      </c>
      <c r="AD41" s="297">
        <f>U130</f>
        <v>0</v>
      </c>
      <c r="AE41" s="217" t="s">
        <v>3601</v>
      </c>
      <c r="AF41" s="215" t="s">
        <v>3602</v>
      </c>
      <c r="AG41" s="289" t="str">
        <f ca="1">IF($AG$9="Quote",Calculator!J40,"")</f>
        <v/>
      </c>
      <c r="AH41">
        <v>35</v>
      </c>
      <c r="AI41" t="s">
        <v>2696</v>
      </c>
      <c r="AJ41" s="415" t="str">
        <f t="shared" ca="1" si="6"/>
        <v/>
      </c>
    </row>
    <row r="42" spans="1:36" x14ac:dyDescent="0.25">
      <c r="A42" s="460" t="s">
        <v>3487</v>
      </c>
      <c r="B42" s="231" t="s">
        <v>1046</v>
      </c>
      <c r="C42" s="465"/>
      <c r="D42" s="475">
        <v>34</v>
      </c>
      <c r="E42" s="225" t="s">
        <v>1328</v>
      </c>
      <c r="F42" s="225" t="s">
        <v>2840</v>
      </c>
      <c r="G42" s="225" t="s">
        <v>1405</v>
      </c>
      <c r="H42" s="318">
        <f>SUM(C35:C37)</f>
        <v>0</v>
      </c>
      <c r="I42" s="445">
        <f>IF(Calculator!I12=1,20,100)</f>
        <v>100</v>
      </c>
      <c r="J42" s="226">
        <f t="shared" si="11"/>
        <v>0</v>
      </c>
      <c r="K42" s="226" t="s">
        <v>1324</v>
      </c>
      <c r="L42" s="226">
        <f t="shared" si="10"/>
        <v>0</v>
      </c>
      <c r="M42" s="225" t="str">
        <f t="shared" si="1"/>
        <v/>
      </c>
      <c r="N42" s="227" t="str">
        <f t="shared" si="2"/>
        <v/>
      </c>
      <c r="O42" s="53">
        <v>152700</v>
      </c>
      <c r="P42" s="53">
        <v>1527</v>
      </c>
      <c r="Q42" s="41" t="s">
        <v>493</v>
      </c>
      <c r="R42" s="41" t="s">
        <v>1499</v>
      </c>
      <c r="AC42" s="217" t="s">
        <v>568</v>
      </c>
      <c r="AD42" s="308">
        <f>V305</f>
        <v>0</v>
      </c>
      <c r="AE42" s="217" t="s">
        <v>1147</v>
      </c>
      <c r="AF42" s="215" t="s">
        <v>2734</v>
      </c>
      <c r="AG42" s="289" t="str">
        <f ca="1">IF($AG$9="Quote",Calculator!C61,"")</f>
        <v/>
      </c>
      <c r="AH42">
        <v>36</v>
      </c>
      <c r="AI42" t="s">
        <v>2697</v>
      </c>
      <c r="AJ42" s="415" t="str">
        <f t="shared" ca="1" si="6"/>
        <v/>
      </c>
    </row>
    <row r="43" spans="1:36" x14ac:dyDescent="0.25">
      <c r="A43" s="460" t="s">
        <v>3488</v>
      </c>
      <c r="B43" s="231" t="s">
        <v>2932</v>
      </c>
      <c r="C43" s="465"/>
      <c r="D43" s="475">
        <v>35</v>
      </c>
      <c r="E43" s="225" t="s">
        <v>1329</v>
      </c>
      <c r="F43" s="225" t="s">
        <v>2841</v>
      </c>
      <c r="G43" s="225" t="s">
        <v>1405</v>
      </c>
      <c r="H43" s="318">
        <f>SUM(C42:C44)</f>
        <v>0</v>
      </c>
      <c r="I43" s="445">
        <f>IF(Calculator!I13=1,20,100)</f>
        <v>100</v>
      </c>
      <c r="J43" s="226">
        <f t="shared" si="11"/>
        <v>0</v>
      </c>
      <c r="K43" s="226" t="s">
        <v>1324</v>
      </c>
      <c r="L43" s="226">
        <f t="shared" si="10"/>
        <v>0</v>
      </c>
      <c r="M43" s="225" t="str">
        <f t="shared" si="1"/>
        <v/>
      </c>
      <c r="N43" s="227" t="str">
        <f t="shared" si="2"/>
        <v/>
      </c>
      <c r="O43" s="53">
        <v>153200</v>
      </c>
      <c r="P43" s="53">
        <v>1532</v>
      </c>
      <c r="Q43" s="444" t="s">
        <v>494</v>
      </c>
      <c r="R43" s="444" t="s">
        <v>3018</v>
      </c>
      <c r="AC43" s="217" t="s">
        <v>629</v>
      </c>
      <c r="AD43" s="308">
        <f>V306</f>
        <v>0</v>
      </c>
      <c r="AE43" s="217" t="s">
        <v>1148</v>
      </c>
      <c r="AF43" s="215" t="s">
        <v>2735</v>
      </c>
      <c r="AG43" s="289" t="str">
        <f ca="1">IF($AG$9="Quote",1500,"")</f>
        <v/>
      </c>
      <c r="AH43">
        <v>37</v>
      </c>
      <c r="AI43" t="s">
        <v>1221</v>
      </c>
      <c r="AJ43" s="415" t="str">
        <f t="shared" ca="1" si="6"/>
        <v/>
      </c>
    </row>
    <row r="44" spans="1:36" x14ac:dyDescent="0.25">
      <c r="A44" s="460" t="s">
        <v>3489</v>
      </c>
      <c r="B44" s="231" t="s">
        <v>2933</v>
      </c>
      <c r="C44" s="465"/>
      <c r="D44" s="475">
        <v>36</v>
      </c>
      <c r="E44" s="225" t="s">
        <v>1330</v>
      </c>
      <c r="F44" s="225" t="s">
        <v>2842</v>
      </c>
      <c r="G44" s="225" t="s">
        <v>1405</v>
      </c>
      <c r="H44" s="318">
        <f>SUM(C49:C51)</f>
        <v>0</v>
      </c>
      <c r="I44" s="445">
        <f>IF(Calculator!I14=1,20,100)</f>
        <v>100</v>
      </c>
      <c r="J44" s="226">
        <f t="shared" si="11"/>
        <v>0</v>
      </c>
      <c r="K44" s="226" t="s">
        <v>1324</v>
      </c>
      <c r="L44" s="226">
        <f t="shared" si="10"/>
        <v>0</v>
      </c>
      <c r="M44" s="225" t="str">
        <f t="shared" si="1"/>
        <v/>
      </c>
      <c r="N44" s="227" t="str">
        <f t="shared" si="2"/>
        <v/>
      </c>
      <c r="O44" s="53">
        <v>153400</v>
      </c>
      <c r="P44" s="53">
        <v>1534</v>
      </c>
      <c r="Q44" s="41" t="s">
        <v>495</v>
      </c>
      <c r="R44" s="41" t="s">
        <v>3019</v>
      </c>
      <c r="AC44" s="217" t="s">
        <v>1152</v>
      </c>
      <c r="AD44" s="296">
        <f>V292</f>
        <v>0</v>
      </c>
      <c r="AE44" s="217" t="s">
        <v>1140</v>
      </c>
      <c r="AF44" s="215" t="s">
        <v>2853</v>
      </c>
      <c r="AG44" s="229" t="str">
        <f ca="1">IF($AG$9="Quote",Calculator!D58,"")</f>
        <v/>
      </c>
      <c r="AH44">
        <v>38</v>
      </c>
      <c r="AI44" t="s">
        <v>283</v>
      </c>
      <c r="AJ44" s="415" t="str">
        <f t="shared" ca="1" si="6"/>
        <v/>
      </c>
    </row>
    <row r="45" spans="1:36" ht="25.5" x14ac:dyDescent="0.25">
      <c r="A45" s="460" t="s">
        <v>3490</v>
      </c>
      <c r="B45" s="231" t="s">
        <v>2934</v>
      </c>
      <c r="C45" s="463"/>
      <c r="D45" s="475">
        <v>37</v>
      </c>
      <c r="E45" s="225" t="s">
        <v>1331</v>
      </c>
      <c r="F45" s="225" t="s">
        <v>2843</v>
      </c>
      <c r="G45" s="225" t="s">
        <v>1405</v>
      </c>
      <c r="H45" s="318">
        <f>SUM(C56:C58)</f>
        <v>0</v>
      </c>
      <c r="I45" s="445">
        <f>IF(Calculator!I15=1,20,100)</f>
        <v>100</v>
      </c>
      <c r="J45" s="226">
        <f t="shared" si="11"/>
        <v>0</v>
      </c>
      <c r="K45" s="226" t="s">
        <v>1324</v>
      </c>
      <c r="L45" s="226">
        <f t="shared" si="10"/>
        <v>0</v>
      </c>
      <c r="M45" s="225" t="str">
        <f t="shared" si="1"/>
        <v/>
      </c>
      <c r="N45" s="227" t="str">
        <f t="shared" si="2"/>
        <v/>
      </c>
      <c r="O45" s="440">
        <v>171200</v>
      </c>
      <c r="P45" s="440">
        <v>1712</v>
      </c>
      <c r="Q45" s="443" t="s">
        <v>496</v>
      </c>
      <c r="R45" s="443" t="s">
        <v>3020</v>
      </c>
      <c r="AC45" s="217" t="s">
        <v>1155</v>
      </c>
      <c r="AD45" s="308">
        <f>U269</f>
        <v>0</v>
      </c>
      <c r="AE45" s="217" t="s">
        <v>1141</v>
      </c>
      <c r="AF45" s="215" t="s">
        <v>2690</v>
      </c>
      <c r="AG45" s="289" t="str">
        <f ca="1">IF($AG$9="Quote",Calculator!C72,"")</f>
        <v/>
      </c>
      <c r="AH45">
        <v>39</v>
      </c>
      <c r="AI45" t="s">
        <v>1218</v>
      </c>
      <c r="AJ45" s="415" t="str">
        <f t="shared" ca="1" si="6"/>
        <v/>
      </c>
    </row>
    <row r="46" spans="1:36" x14ac:dyDescent="0.25">
      <c r="A46" s="460" t="s">
        <v>2899</v>
      </c>
      <c r="B46" s="215" t="s">
        <v>2935</v>
      </c>
      <c r="C46" s="462"/>
      <c r="D46" s="475">
        <v>38</v>
      </c>
      <c r="E46" s="225" t="s">
        <v>1326</v>
      </c>
      <c r="F46" s="225" t="s">
        <v>2844</v>
      </c>
      <c r="G46" s="225" t="s">
        <v>1405</v>
      </c>
      <c r="H46" s="318">
        <f>SUM(C63:C65)</f>
        <v>0</v>
      </c>
      <c r="I46" s="445">
        <f>IF(Calculator!I16=1,20,100)</f>
        <v>100</v>
      </c>
      <c r="J46" s="226">
        <f t="shared" si="11"/>
        <v>0</v>
      </c>
      <c r="K46" s="226" t="s">
        <v>1324</v>
      </c>
      <c r="L46" s="226">
        <f t="shared" si="10"/>
        <v>0</v>
      </c>
      <c r="M46" s="225" t="str">
        <f t="shared" si="1"/>
        <v/>
      </c>
      <c r="N46" s="227" t="str">
        <f t="shared" si="2"/>
        <v/>
      </c>
      <c r="O46" s="53">
        <v>171901</v>
      </c>
      <c r="P46" s="53">
        <v>1719</v>
      </c>
      <c r="Q46" s="41" t="s">
        <v>497</v>
      </c>
      <c r="R46" s="41" t="s">
        <v>1533</v>
      </c>
      <c r="AC46" s="217" t="s">
        <v>1156</v>
      </c>
      <c r="AD46" s="308">
        <f>U270</f>
        <v>0</v>
      </c>
      <c r="AE46" s="217" t="s">
        <v>1142</v>
      </c>
      <c r="AF46" s="215" t="s">
        <v>2808</v>
      </c>
      <c r="AG46" s="289" t="str">
        <f ca="1">IF($AG$9="Quote",50000,"")</f>
        <v/>
      </c>
      <c r="AH46">
        <v>40</v>
      </c>
      <c r="AI46" t="s">
        <v>2698</v>
      </c>
      <c r="AJ46" s="415" t="str">
        <f t="shared" ca="1" si="6"/>
        <v/>
      </c>
    </row>
    <row r="47" spans="1:36" ht="25.5" x14ac:dyDescent="0.25">
      <c r="A47" s="460" t="s">
        <v>3491</v>
      </c>
      <c r="B47" s="231" t="s">
        <v>1047</v>
      </c>
      <c r="C47" s="465"/>
      <c r="D47" s="475">
        <v>39</v>
      </c>
      <c r="E47" s="225" t="s">
        <v>1332</v>
      </c>
      <c r="F47" s="225" t="s">
        <v>2845</v>
      </c>
      <c r="G47" s="225" t="s">
        <v>1405</v>
      </c>
      <c r="H47" s="318">
        <f>SUM(C70:C72)</f>
        <v>0</v>
      </c>
      <c r="I47" s="445">
        <f>IF(Calculator!I17=1,20,100)</f>
        <v>100</v>
      </c>
      <c r="J47" s="226">
        <f t="shared" si="11"/>
        <v>0</v>
      </c>
      <c r="K47" s="226" t="s">
        <v>1324</v>
      </c>
      <c r="L47" s="226">
        <f t="shared" si="10"/>
        <v>0</v>
      </c>
      <c r="M47" s="225" t="str">
        <f t="shared" si="1"/>
        <v/>
      </c>
      <c r="N47" s="227" t="str">
        <f t="shared" si="2"/>
        <v/>
      </c>
      <c r="O47" s="53">
        <v>171902</v>
      </c>
      <c r="P47" s="53">
        <v>1770</v>
      </c>
      <c r="Q47" s="444" t="s">
        <v>498</v>
      </c>
      <c r="R47" s="444" t="s">
        <v>3021</v>
      </c>
      <c r="AC47" s="217" t="s">
        <v>1157</v>
      </c>
      <c r="AD47" s="308">
        <f>U271</f>
        <v>0</v>
      </c>
      <c r="AE47" s="217" t="s">
        <v>1144</v>
      </c>
      <c r="AF47" s="215" t="s">
        <v>2691</v>
      </c>
      <c r="AG47" s="229" t="str">
        <f ca="1">IF($AG$9="Quote",80%,"")</f>
        <v/>
      </c>
      <c r="AH47">
        <v>41</v>
      </c>
      <c r="AI47" t="s">
        <v>3620</v>
      </c>
      <c r="AJ47" s="415" t="str">
        <f t="shared" ca="1" si="6"/>
        <v/>
      </c>
    </row>
    <row r="48" spans="1:36" x14ac:dyDescent="0.25">
      <c r="A48" s="460" t="s">
        <v>3492</v>
      </c>
      <c r="B48" s="231" t="s">
        <v>1048</v>
      </c>
      <c r="C48" s="465"/>
      <c r="D48" s="475">
        <v>40</v>
      </c>
      <c r="E48" s="225" t="s">
        <v>1333</v>
      </c>
      <c r="F48" s="225" t="s">
        <v>2846</v>
      </c>
      <c r="G48" s="225" t="s">
        <v>1405</v>
      </c>
      <c r="H48" s="318">
        <f>SUM(C77:C79)</f>
        <v>0</v>
      </c>
      <c r="I48" s="445">
        <f>IF(Calculator!I18=1,20,100)</f>
        <v>100</v>
      </c>
      <c r="J48" s="226">
        <f t="shared" si="11"/>
        <v>0</v>
      </c>
      <c r="K48" s="226" t="s">
        <v>1324</v>
      </c>
      <c r="L48" s="226">
        <f t="shared" si="10"/>
        <v>0</v>
      </c>
      <c r="M48" s="225" t="str">
        <f t="shared" si="1"/>
        <v/>
      </c>
      <c r="N48" s="227" t="str">
        <f t="shared" si="2"/>
        <v/>
      </c>
      <c r="O48" s="53">
        <v>172000</v>
      </c>
      <c r="P48" s="53">
        <v>1720</v>
      </c>
      <c r="Q48" s="41" t="s">
        <v>499</v>
      </c>
      <c r="R48" s="41" t="s">
        <v>3022</v>
      </c>
      <c r="AC48" s="254" t="s">
        <v>1158</v>
      </c>
      <c r="AD48" s="308">
        <f>U272</f>
        <v>0</v>
      </c>
      <c r="AE48" s="217" t="s">
        <v>401</v>
      </c>
      <c r="AF48" s="215" t="s">
        <v>2712</v>
      </c>
      <c r="AG48" s="289" t="str">
        <f ca="1">IF($AG$9="Quote",Calculator!D81,"")</f>
        <v/>
      </c>
      <c r="AH48">
        <v>42</v>
      </c>
      <c r="AI48" t="s">
        <v>3621</v>
      </c>
      <c r="AJ48" s="415" t="str">
        <f t="shared" ca="1" si="6"/>
        <v/>
      </c>
    </row>
    <row r="49" spans="1:36" ht="25.5" x14ac:dyDescent="0.25">
      <c r="A49" s="460" t="s">
        <v>3493</v>
      </c>
      <c r="B49" s="231" t="s">
        <v>1049</v>
      </c>
      <c r="C49" s="465"/>
      <c r="D49" s="475">
        <v>41</v>
      </c>
      <c r="E49" s="225" t="s">
        <v>1334</v>
      </c>
      <c r="F49" s="225" t="s">
        <v>2847</v>
      </c>
      <c r="G49" s="225" t="s">
        <v>1405</v>
      </c>
      <c r="H49" s="318">
        <f>SUM(C84:C86)</f>
        <v>0</v>
      </c>
      <c r="I49" s="445">
        <f>IF(Calculator!I19=1,20,100)</f>
        <v>100</v>
      </c>
      <c r="J49" s="226">
        <f t="shared" si="11"/>
        <v>0</v>
      </c>
      <c r="K49" s="226" t="s">
        <v>1324</v>
      </c>
      <c r="L49" s="226">
        <f t="shared" si="10"/>
        <v>0</v>
      </c>
      <c r="M49" s="225" t="str">
        <f t="shared" si="1"/>
        <v/>
      </c>
      <c r="N49" s="227" t="str">
        <f t="shared" si="2"/>
        <v/>
      </c>
      <c r="O49" s="53">
        <v>174500</v>
      </c>
      <c r="P49" s="53">
        <v>1745</v>
      </c>
      <c r="Q49" s="444" t="s">
        <v>2989</v>
      </c>
      <c r="R49" s="444" t="s">
        <v>3023</v>
      </c>
      <c r="AC49" s="255" t="s">
        <v>1167</v>
      </c>
      <c r="AD49" s="325">
        <f>U145</f>
        <v>10000</v>
      </c>
      <c r="AE49" s="217" t="s">
        <v>2653</v>
      </c>
      <c r="AF49" s="215" t="s">
        <v>283</v>
      </c>
      <c r="AG49" s="289" t="str">
        <f ca="1">IF($AG$9="Quote",Calculator!D48,"")</f>
        <v/>
      </c>
      <c r="AH49">
        <v>43</v>
      </c>
      <c r="AI49" t="s">
        <v>1360</v>
      </c>
      <c r="AJ49" s="415" t="str">
        <f t="shared" ca="1" si="6"/>
        <v/>
      </c>
    </row>
    <row r="50" spans="1:36" x14ac:dyDescent="0.25">
      <c r="A50" s="460" t="s">
        <v>3494</v>
      </c>
      <c r="B50" s="231" t="s">
        <v>2936</v>
      </c>
      <c r="C50" s="465"/>
      <c r="D50" s="476">
        <v>42</v>
      </c>
      <c r="E50" s="225" t="s">
        <v>2658</v>
      </c>
      <c r="F50" s="234" t="s">
        <v>2848</v>
      </c>
      <c r="G50" s="234" t="s">
        <v>2657</v>
      </c>
      <c r="H50" s="235">
        <f>IF(U361="No","",C88)</f>
        <v>0</v>
      </c>
      <c r="I50" s="235">
        <v>2000000</v>
      </c>
      <c r="J50" s="235">
        <f>IF(H50="",0,IF(H50&lt;=I50,0,1))</f>
        <v>0</v>
      </c>
      <c r="K50" s="235" t="s">
        <v>1324</v>
      </c>
      <c r="L50" s="226">
        <f>IF(J50=0,0,IF(K50="Y",0,1))</f>
        <v>0</v>
      </c>
      <c r="M50" s="225" t="str">
        <f t="shared" si="1"/>
        <v/>
      </c>
      <c r="N50" s="227" t="str">
        <f t="shared" si="2"/>
        <v/>
      </c>
      <c r="O50" s="440">
        <v>177000</v>
      </c>
      <c r="P50" s="440">
        <v>1770</v>
      </c>
      <c r="Q50" s="442" t="s">
        <v>501</v>
      </c>
      <c r="R50" s="442" t="s">
        <v>1577</v>
      </c>
      <c r="AC50" s="255" t="s">
        <v>1170</v>
      </c>
      <c r="AD50" s="325">
        <f>$U$152</f>
        <v>0</v>
      </c>
      <c r="AE50" s="217" t="s">
        <v>2858</v>
      </c>
      <c r="AF50" s="215" t="s">
        <v>2859</v>
      </c>
      <c r="AG50" s="289" t="str">
        <f ca="1">IF($AG$9="Quote",Calculator!C100,"")</f>
        <v/>
      </c>
      <c r="AH50">
        <v>44</v>
      </c>
      <c r="AI50" t="s">
        <v>2701</v>
      </c>
      <c r="AJ50" s="415" t="str">
        <f t="shared" ca="1" si="6"/>
        <v/>
      </c>
    </row>
    <row r="51" spans="1:36" ht="25.5" x14ac:dyDescent="0.25">
      <c r="A51" s="460" t="s">
        <v>3495</v>
      </c>
      <c r="B51" s="231" t="s">
        <v>2937</v>
      </c>
      <c r="C51" s="465"/>
      <c r="D51" s="476">
        <v>43</v>
      </c>
      <c r="E51" s="282" t="s">
        <v>2860</v>
      </c>
      <c r="F51" s="282" t="s">
        <v>2861</v>
      </c>
      <c r="G51" s="282" t="s">
        <v>2862</v>
      </c>
      <c r="H51" s="185">
        <f>IF(U361="No","",C134)</f>
        <v>0</v>
      </c>
      <c r="I51" s="185" t="s">
        <v>2526</v>
      </c>
      <c r="J51" s="235">
        <f>IF(H51="",0,IF(H51=I51,0,1))</f>
        <v>1</v>
      </c>
      <c r="K51" s="185" t="s">
        <v>1386</v>
      </c>
      <c r="L51" s="185">
        <f t="shared" ref="L51" si="12">IF(J51=0,0,IF(K51="Y",0,1))</f>
        <v>0</v>
      </c>
      <c r="M51" s="225" t="str">
        <f t="shared" ref="M51" si="13">IF(J51=1,F51,"")</f>
        <v>Property occupied by others</v>
      </c>
      <c r="N51" s="227" t="str">
        <f t="shared" ref="N51" si="14">IF(M51="","",IF(L51=0,F51,""))</f>
        <v>Property occupied by others</v>
      </c>
      <c r="O51" s="440">
        <v>177400</v>
      </c>
      <c r="P51" s="440">
        <v>1774</v>
      </c>
      <c r="Q51" s="443" t="s">
        <v>503</v>
      </c>
      <c r="R51" s="443" t="s">
        <v>1419</v>
      </c>
      <c r="AC51" s="255" t="s">
        <v>1178</v>
      </c>
      <c r="AD51" s="325" t="str">
        <f>$U$164</f>
        <v>No</v>
      </c>
      <c r="AE51" s="217" t="s">
        <v>629</v>
      </c>
      <c r="AF51" s="215" t="s">
        <v>2849</v>
      </c>
      <c r="AG51" s="289" t="str">
        <f ca="1">IF($AG$9="Quote",Calculator!C101,"")</f>
        <v/>
      </c>
      <c r="AH51">
        <v>45</v>
      </c>
      <c r="AI51" t="s">
        <v>2702</v>
      </c>
      <c r="AJ51" s="415" t="str">
        <f t="shared" ca="1" si="6"/>
        <v/>
      </c>
    </row>
    <row r="52" spans="1:36" x14ac:dyDescent="0.25">
      <c r="A52" s="460" t="s">
        <v>3496</v>
      </c>
      <c r="B52" s="231" t="s">
        <v>2938</v>
      </c>
      <c r="C52" s="463"/>
      <c r="D52" s="476">
        <v>44</v>
      </c>
      <c r="E52" s="282" t="s">
        <v>2905</v>
      </c>
      <c r="F52" s="282" t="s">
        <v>2907</v>
      </c>
      <c r="G52" s="282" t="s">
        <v>2906</v>
      </c>
      <c r="H52" s="185">
        <f>C6</f>
        <v>0</v>
      </c>
      <c r="J52" s="185">
        <f>IF(H52="Ontario",0,IF(H52="ON",0,1))</f>
        <v>1</v>
      </c>
      <c r="K52" s="437" t="s">
        <v>1324</v>
      </c>
      <c r="L52" s="437">
        <f t="shared" ref="L52:L61" si="15">IF(J52=0,0,IF(K52="Y",0,1))</f>
        <v>1</v>
      </c>
      <c r="M52" s="225" t="str">
        <f t="shared" ref="M52" si="16">IF(J52=1,F52,"")</f>
        <v>Client is not Ontario based</v>
      </c>
      <c r="N52" s="227" t="str">
        <f t="shared" ref="N52" si="17">IF(M52="","",IF(L52=0,F52,""))</f>
        <v/>
      </c>
      <c r="O52" s="298"/>
      <c r="AC52" s="255" t="s">
        <v>1304</v>
      </c>
      <c r="AD52" s="294"/>
      <c r="AE52" s="217" t="s">
        <v>1153</v>
      </c>
      <c r="AF52" s="215" t="s">
        <v>2635</v>
      </c>
      <c r="AG52" s="289" t="str">
        <f ca="1">IF($AG$9="Quote",Calculator!C102,"")</f>
        <v/>
      </c>
      <c r="AH52">
        <v>46</v>
      </c>
      <c r="AI52" t="s">
        <v>2703</v>
      </c>
      <c r="AJ52" s="415" t="str">
        <f t="shared" ca="1" si="6"/>
        <v/>
      </c>
    </row>
    <row r="53" spans="1:36" x14ac:dyDescent="0.25">
      <c r="A53" s="460" t="s">
        <v>2900</v>
      </c>
      <c r="B53" s="215" t="s">
        <v>2939</v>
      </c>
      <c r="C53" s="462"/>
      <c r="D53" s="476">
        <v>45</v>
      </c>
      <c r="E53" s="282" t="s">
        <v>2959</v>
      </c>
      <c r="F53" s="282" t="s">
        <v>2960</v>
      </c>
      <c r="G53" s="282" t="s">
        <v>2961</v>
      </c>
      <c r="H53" s="185">
        <f>IF(C24="No",1,IF(C31="No",1,IF(C38="No",1,IF(C45="No",1,IF(C52="No",1,IF(C59="No",1,IF(C66="No",1,IF(C73="No",1,IF(C80="No",1,IF(C87="No",1,0))))))))))</f>
        <v>0</v>
      </c>
      <c r="I53" s="185">
        <v>0</v>
      </c>
      <c r="J53" s="185">
        <f>IF(H53=I53,0,1)</f>
        <v>0</v>
      </c>
      <c r="K53" s="185" t="s">
        <v>1386</v>
      </c>
      <c r="L53" s="185">
        <f t="shared" si="15"/>
        <v>0</v>
      </c>
      <c r="M53" s="225" t="str">
        <f t="shared" ref="M53" si="18">IF(J53=1,F53,"")</f>
        <v/>
      </c>
      <c r="N53" s="227" t="str">
        <f t="shared" ref="N53" si="19">IF(M53="","",IF(L53=0,F53,""))</f>
        <v/>
      </c>
      <c r="O53" s="185"/>
      <c r="AC53" s="255" t="s">
        <v>1305</v>
      </c>
      <c r="AD53" s="294"/>
      <c r="AE53" s="217" t="s">
        <v>1162</v>
      </c>
      <c r="AF53" s="215" t="s">
        <v>1155</v>
      </c>
      <c r="AG53" s="289" t="str">
        <f ca="1">IF($AG$9="Quote",Calculator!C124,"")</f>
        <v/>
      </c>
      <c r="AH53">
        <v>47</v>
      </c>
      <c r="AI53" t="s">
        <v>2704</v>
      </c>
      <c r="AJ53" s="415" t="str">
        <f t="shared" ca="1" si="6"/>
        <v/>
      </c>
    </row>
    <row r="54" spans="1:36" x14ac:dyDescent="0.25">
      <c r="A54" s="460" t="s">
        <v>3497</v>
      </c>
      <c r="B54" s="231" t="s">
        <v>2871</v>
      </c>
      <c r="C54" s="465"/>
      <c r="D54" s="476">
        <v>46</v>
      </c>
      <c r="E54" s="282" t="s">
        <v>2972</v>
      </c>
      <c r="F54" s="282" t="s">
        <v>2980</v>
      </c>
      <c r="G54" t="s">
        <v>2971</v>
      </c>
      <c r="H54" s="185">
        <f>C146</f>
        <v>0</v>
      </c>
      <c r="I54" s="185" t="s">
        <v>1398</v>
      </c>
      <c r="J54" s="185">
        <f>IF(H54="","",IF(H54="Yes",1,0))</f>
        <v>0</v>
      </c>
      <c r="K54" s="185" t="s">
        <v>1386</v>
      </c>
      <c r="L54" s="185">
        <f t="shared" si="15"/>
        <v>0</v>
      </c>
      <c r="M54" s="225" t="str">
        <f t="shared" ref="M54:M61" si="20">IF(J54=1,F54,"")</f>
        <v/>
      </c>
      <c r="N54" s="227" t="str">
        <f t="shared" ref="N54:N61" si="21">IF(M54="","",IF(L54=0,F54,""))</f>
        <v/>
      </c>
      <c r="O54" s="298"/>
      <c r="AC54" s="255" t="s">
        <v>1306</v>
      </c>
      <c r="AD54" s="325">
        <f>U286</f>
        <v>0</v>
      </c>
      <c r="AE54" s="217" t="s">
        <v>2797</v>
      </c>
      <c r="AF54" s="215" t="s">
        <v>2774</v>
      </c>
      <c r="AG54" s="289" t="str">
        <f ca="1">IF($AG$9="Quote",Calculator!C125,"")</f>
        <v/>
      </c>
      <c r="AH54">
        <v>48</v>
      </c>
      <c r="AI54" t="s">
        <v>2705</v>
      </c>
      <c r="AJ54" s="415" t="str">
        <f t="shared" ca="1" si="6"/>
        <v/>
      </c>
    </row>
    <row r="55" spans="1:36" x14ac:dyDescent="0.25">
      <c r="A55" s="460" t="s">
        <v>3498</v>
      </c>
      <c r="B55" s="231" t="s">
        <v>2872</v>
      </c>
      <c r="C55" s="465"/>
      <c r="D55" s="476">
        <v>47</v>
      </c>
      <c r="E55" s="282" t="s">
        <v>2973</v>
      </c>
      <c r="F55" s="282" t="s">
        <v>2981</v>
      </c>
      <c r="G55" t="s">
        <v>2970</v>
      </c>
      <c r="H55" s="436">
        <f>C147</f>
        <v>0</v>
      </c>
      <c r="I55" s="439">
        <v>0.01</v>
      </c>
      <c r="J55" s="185">
        <f>IF(H55="","",IF(H55&gt;I55,1,0))</f>
        <v>0</v>
      </c>
      <c r="K55" s="185" t="s">
        <v>1386</v>
      </c>
      <c r="L55" s="185">
        <f t="shared" si="15"/>
        <v>0</v>
      </c>
      <c r="M55" s="225" t="str">
        <f t="shared" si="20"/>
        <v/>
      </c>
      <c r="N55" s="227" t="str">
        <f t="shared" si="21"/>
        <v/>
      </c>
      <c r="O55" s="298"/>
      <c r="AC55" s="255" t="s">
        <v>2521</v>
      </c>
      <c r="AD55" s="325">
        <f>$U$186</f>
        <v>0</v>
      </c>
      <c r="AE55" s="217" t="s">
        <v>2798</v>
      </c>
      <c r="AF55" s="215" t="s">
        <v>2775</v>
      </c>
      <c r="AG55" s="289" t="str">
        <f ca="1">IF($AG$9="Quote",Calculator!C126,"")</f>
        <v/>
      </c>
      <c r="AH55">
        <v>49</v>
      </c>
      <c r="AI55" t="s">
        <v>2706</v>
      </c>
      <c r="AJ55" s="415" t="str">
        <f t="shared" ca="1" si="6"/>
        <v/>
      </c>
    </row>
    <row r="56" spans="1:36" x14ac:dyDescent="0.25">
      <c r="A56" s="460" t="s">
        <v>3499</v>
      </c>
      <c r="B56" s="231" t="s">
        <v>2873</v>
      </c>
      <c r="C56" s="465"/>
      <c r="D56" s="476">
        <v>48</v>
      </c>
      <c r="E56" s="282" t="s">
        <v>2974</v>
      </c>
      <c r="F56" s="282" t="s">
        <v>2982</v>
      </c>
      <c r="G56" t="s">
        <v>2969</v>
      </c>
      <c r="H56" s="185">
        <f>C148</f>
        <v>0</v>
      </c>
      <c r="I56" s="185" t="s">
        <v>1398</v>
      </c>
      <c r="J56" s="185">
        <f>IF(H56="","",IF(H56="Yes",1,0))</f>
        <v>0</v>
      </c>
      <c r="K56" s="185" t="s">
        <v>1386</v>
      </c>
      <c r="L56" s="185">
        <f t="shared" si="15"/>
        <v>0</v>
      </c>
      <c r="M56" s="225" t="str">
        <f t="shared" si="20"/>
        <v/>
      </c>
      <c r="N56" s="227" t="str">
        <f t="shared" si="21"/>
        <v/>
      </c>
      <c r="O56" s="298"/>
      <c r="AC56" s="255" t="s">
        <v>1307</v>
      </c>
      <c r="AD56" s="325">
        <f>$U$202</f>
        <v>5000</v>
      </c>
      <c r="AE56" s="217" t="s">
        <v>2799</v>
      </c>
      <c r="AF56" s="215" t="s">
        <v>2778</v>
      </c>
      <c r="AG56" s="289" t="str">
        <f ca="1">IF($AG$9="Quote",Calculator!C127,"")</f>
        <v/>
      </c>
      <c r="AH56">
        <v>50</v>
      </c>
      <c r="AI56" t="s">
        <v>2707</v>
      </c>
      <c r="AJ56" s="415" t="str">
        <f t="shared" ca="1" si="6"/>
        <v/>
      </c>
    </row>
    <row r="57" spans="1:36" x14ac:dyDescent="0.25">
      <c r="A57" s="460" t="s">
        <v>3500</v>
      </c>
      <c r="B57" s="231" t="s">
        <v>2940</v>
      </c>
      <c r="C57" s="465"/>
      <c r="D57" s="476">
        <v>49</v>
      </c>
      <c r="E57" s="282" t="s">
        <v>2975</v>
      </c>
      <c r="F57" s="282" t="s">
        <v>2983</v>
      </c>
      <c r="G57" t="s">
        <v>2988</v>
      </c>
      <c r="H57" s="185">
        <f>IF(C149="Yes",1,IF(C150="Yes",1,IF(C151="Yes",1,0)))</f>
        <v>0</v>
      </c>
      <c r="I57" s="185">
        <v>0</v>
      </c>
      <c r="J57" s="185">
        <f>IF(H57="","",IF(H57=1,1,0))</f>
        <v>0</v>
      </c>
      <c r="K57" s="185" t="s">
        <v>1386</v>
      </c>
      <c r="L57" s="185">
        <f t="shared" si="15"/>
        <v>0</v>
      </c>
      <c r="M57" s="225" t="str">
        <f t="shared" si="20"/>
        <v/>
      </c>
      <c r="N57" s="227" t="str">
        <f t="shared" si="21"/>
        <v/>
      </c>
      <c r="O57" s="298"/>
      <c r="AC57" s="255" t="s">
        <v>1311</v>
      </c>
      <c r="AD57" s="325">
        <f>$U$216</f>
        <v>0</v>
      </c>
      <c r="AE57" s="217" t="s">
        <v>2800</v>
      </c>
      <c r="AF57" s="215" t="s">
        <v>2770</v>
      </c>
      <c r="AG57" s="289" t="str">
        <f ca="1">IF($AG$9="Quote",Calculator!E124,"")</f>
        <v/>
      </c>
      <c r="AH57">
        <v>51</v>
      </c>
      <c r="AI57" t="s">
        <v>2708</v>
      </c>
      <c r="AJ57" s="415" t="str">
        <f t="shared" ca="1" si="6"/>
        <v/>
      </c>
    </row>
    <row r="58" spans="1:36" x14ac:dyDescent="0.25">
      <c r="A58" s="460" t="s">
        <v>3501</v>
      </c>
      <c r="B58" s="231" t="s">
        <v>2941</v>
      </c>
      <c r="C58" s="465"/>
      <c r="D58" s="476">
        <v>50</v>
      </c>
      <c r="E58" s="282" t="s">
        <v>2976</v>
      </c>
      <c r="F58" s="282" t="s">
        <v>2984</v>
      </c>
      <c r="G58" t="s">
        <v>2965</v>
      </c>
      <c r="H58" s="185">
        <f>C152</f>
        <v>0</v>
      </c>
      <c r="I58" s="185" t="s">
        <v>1398</v>
      </c>
      <c r="J58" s="437">
        <f t="shared" ref="J58:J61" si="22">IF(H58="","",IF(H58="Yes",1,0))</f>
        <v>0</v>
      </c>
      <c r="K58" s="185" t="s">
        <v>1386</v>
      </c>
      <c r="L58" s="185">
        <f t="shared" si="15"/>
        <v>0</v>
      </c>
      <c r="M58" s="225" t="str">
        <f t="shared" si="20"/>
        <v/>
      </c>
      <c r="N58" s="227" t="str">
        <f t="shared" si="21"/>
        <v/>
      </c>
      <c r="O58" s="298"/>
      <c r="AC58" s="255" t="s">
        <v>1308</v>
      </c>
      <c r="AD58" s="325">
        <f>$U$209</f>
        <v>1000</v>
      </c>
      <c r="AE58" s="217" t="s">
        <v>2801</v>
      </c>
      <c r="AF58" s="215" t="s">
        <v>2777</v>
      </c>
      <c r="AG58" s="289" t="str">
        <f ca="1">IF($AG$9="Quote",Calculator!E125,"")</f>
        <v/>
      </c>
      <c r="AH58">
        <v>52</v>
      </c>
      <c r="AI58" t="s">
        <v>1271</v>
      </c>
      <c r="AJ58" s="415" t="str">
        <f t="shared" ca="1" si="6"/>
        <v/>
      </c>
    </row>
    <row r="59" spans="1:36" x14ac:dyDescent="0.25">
      <c r="A59" s="460" t="s">
        <v>3502</v>
      </c>
      <c r="B59" s="231" t="s">
        <v>2942</v>
      </c>
      <c r="C59" s="463"/>
      <c r="D59" s="476">
        <v>51</v>
      </c>
      <c r="E59" s="282" t="s">
        <v>2977</v>
      </c>
      <c r="F59" s="282" t="s">
        <v>2985</v>
      </c>
      <c r="G59" t="s">
        <v>2963</v>
      </c>
      <c r="H59" s="185">
        <f>C153</f>
        <v>0</v>
      </c>
      <c r="I59" s="185" t="s">
        <v>1114</v>
      </c>
      <c r="J59" s="437">
        <f>IF(H59="","",IF(H59="No",1,0))</f>
        <v>0</v>
      </c>
      <c r="K59" s="185" t="s">
        <v>1386</v>
      </c>
      <c r="L59" s="185">
        <f t="shared" si="15"/>
        <v>0</v>
      </c>
      <c r="M59" s="225" t="str">
        <f t="shared" si="20"/>
        <v/>
      </c>
      <c r="N59" s="227" t="str">
        <f t="shared" si="21"/>
        <v/>
      </c>
      <c r="O59" s="298"/>
      <c r="AC59" s="255"/>
      <c r="AD59" s="294"/>
      <c r="AE59" s="217" t="s">
        <v>2802</v>
      </c>
      <c r="AF59" s="215" t="s">
        <v>2769</v>
      </c>
      <c r="AG59" s="289" t="str">
        <f ca="1">IF($AG$9="Quote",Calculator!E126,"")</f>
        <v/>
      </c>
      <c r="AH59">
        <v>53</v>
      </c>
      <c r="AI59" t="s">
        <v>2852</v>
      </c>
      <c r="AJ59" s="415" t="str">
        <f t="shared" ca="1" si="6"/>
        <v/>
      </c>
    </row>
    <row r="60" spans="1:36" x14ac:dyDescent="0.25">
      <c r="A60" s="460" t="s">
        <v>2901</v>
      </c>
      <c r="B60" s="215" t="s">
        <v>2943</v>
      </c>
      <c r="C60" s="462"/>
      <c r="D60" s="476">
        <v>52</v>
      </c>
      <c r="E60" s="282" t="s">
        <v>2978</v>
      </c>
      <c r="F60" s="282" t="s">
        <v>2986</v>
      </c>
      <c r="G60" t="s">
        <v>2964</v>
      </c>
      <c r="H60" s="185">
        <f>C154</f>
        <v>0</v>
      </c>
      <c r="I60" s="185" t="s">
        <v>1398</v>
      </c>
      <c r="J60" s="437">
        <f t="shared" si="22"/>
        <v>0</v>
      </c>
      <c r="K60" s="185" t="s">
        <v>1386</v>
      </c>
      <c r="L60" s="185">
        <f t="shared" si="15"/>
        <v>0</v>
      </c>
      <c r="M60" s="225" t="str">
        <f t="shared" si="20"/>
        <v/>
      </c>
      <c r="N60" s="227" t="str">
        <f t="shared" si="21"/>
        <v/>
      </c>
      <c r="O60" s="298"/>
      <c r="AC60" s="255"/>
      <c r="AD60" s="294"/>
      <c r="AE60" s="217" t="s">
        <v>2803</v>
      </c>
      <c r="AF60" s="215" t="s">
        <v>2779</v>
      </c>
      <c r="AG60" s="289" t="str">
        <f ca="1">IF($AG$9="Quote",Calculator!E127,"")</f>
        <v/>
      </c>
      <c r="AH60">
        <v>54</v>
      </c>
      <c r="AI60" t="s">
        <v>2709</v>
      </c>
      <c r="AJ60" s="415" t="str">
        <f t="shared" ca="1" si="6"/>
        <v/>
      </c>
    </row>
    <row r="61" spans="1:36" x14ac:dyDescent="0.25">
      <c r="A61" s="460" t="s">
        <v>3503</v>
      </c>
      <c r="B61" s="231" t="s">
        <v>2874</v>
      </c>
      <c r="C61" s="465"/>
      <c r="D61" s="476">
        <v>53</v>
      </c>
      <c r="E61" s="282" t="s">
        <v>2979</v>
      </c>
      <c r="F61" s="282" t="s">
        <v>2987</v>
      </c>
      <c r="G61" t="s">
        <v>2962</v>
      </c>
      <c r="H61" s="185">
        <f>C155</f>
        <v>0</v>
      </c>
      <c r="I61" s="185" t="s">
        <v>1398</v>
      </c>
      <c r="J61" s="437">
        <f t="shared" si="22"/>
        <v>0</v>
      </c>
      <c r="K61" s="185" t="s">
        <v>1386</v>
      </c>
      <c r="L61" s="185">
        <f t="shared" si="15"/>
        <v>0</v>
      </c>
      <c r="M61" s="225" t="str">
        <f t="shared" si="20"/>
        <v/>
      </c>
      <c r="N61" s="227" t="str">
        <f t="shared" si="21"/>
        <v/>
      </c>
      <c r="O61" s="298"/>
      <c r="AC61" s="255"/>
      <c r="AD61" s="294"/>
      <c r="AE61" s="217" t="s">
        <v>2866</v>
      </c>
      <c r="AF61" s="215" t="s">
        <v>2864</v>
      </c>
      <c r="AG61" s="289" t="str">
        <f ca="1">IF($AG$9="Quote",Calculator!E128,"")</f>
        <v/>
      </c>
      <c r="AH61">
        <v>55</v>
      </c>
      <c r="AI61" t="s">
        <v>2710</v>
      </c>
      <c r="AJ61" s="415" t="str">
        <f t="shared" ca="1" si="6"/>
        <v/>
      </c>
    </row>
    <row r="62" spans="1:36" x14ac:dyDescent="0.25">
      <c r="A62" s="460" t="s">
        <v>3504</v>
      </c>
      <c r="B62" s="231" t="s">
        <v>2875</v>
      </c>
      <c r="C62" s="465"/>
      <c r="D62" s="255"/>
      <c r="O62" s="298"/>
      <c r="AC62" s="255"/>
      <c r="AD62" s="294"/>
      <c r="AE62" s="217" t="s">
        <v>2865</v>
      </c>
      <c r="AF62" s="215" t="s">
        <v>2773</v>
      </c>
      <c r="AG62" s="289" t="str">
        <f ca="1">IF($AG$9="Quote",Calculator!C128,"")</f>
        <v/>
      </c>
      <c r="AH62">
        <v>56</v>
      </c>
      <c r="AI62" t="s">
        <v>2711</v>
      </c>
      <c r="AJ62" s="415" t="str">
        <f t="shared" ca="1" si="6"/>
        <v/>
      </c>
    </row>
    <row r="63" spans="1:36" x14ac:dyDescent="0.25">
      <c r="A63" s="460" t="s">
        <v>3505</v>
      </c>
      <c r="B63" s="231" t="s">
        <v>2876</v>
      </c>
      <c r="C63" s="465"/>
      <c r="D63" s="255"/>
      <c r="O63" s="493" t="s">
        <v>1335</v>
      </c>
      <c r="AC63" s="255"/>
      <c r="AD63" s="294"/>
      <c r="AE63" s="287" t="s">
        <v>1220</v>
      </c>
      <c r="AF63" s="215" t="s">
        <v>2675</v>
      </c>
      <c r="AG63" s="288" t="str">
        <f ca="1">IF($AG$9="Quote","Included","")</f>
        <v/>
      </c>
      <c r="AH63">
        <v>57</v>
      </c>
      <c r="AI63" t="s">
        <v>2712</v>
      </c>
      <c r="AJ63" s="415" t="str">
        <f t="shared" ca="1" si="6"/>
        <v/>
      </c>
    </row>
    <row r="64" spans="1:36" x14ac:dyDescent="0.25">
      <c r="A64" s="460" t="s">
        <v>3506</v>
      </c>
      <c r="B64" s="231" t="s">
        <v>2944</v>
      </c>
      <c r="C64" s="465"/>
      <c r="D64" s="255"/>
      <c r="O64" s="5" t="s">
        <v>1056</v>
      </c>
      <c r="Q64" s="242" t="s">
        <v>1057</v>
      </c>
      <c r="R64" s="243" t="s">
        <v>1058</v>
      </c>
      <c r="S64" s="244" t="s">
        <v>1059</v>
      </c>
      <c r="T64" s="243"/>
      <c r="U64" s="244" t="s">
        <v>1349</v>
      </c>
      <c r="AE64" s="287" t="s">
        <v>1221</v>
      </c>
      <c r="AF64" s="215" t="s">
        <v>1221</v>
      </c>
      <c r="AG64" s="288" t="str">
        <f ca="1">IF($AG$9="Quote","Included","")</f>
        <v/>
      </c>
      <c r="AH64">
        <v>58</v>
      </c>
      <c r="AI64" t="s">
        <v>2713</v>
      </c>
      <c r="AJ64" s="415" t="str">
        <f t="shared" ca="1" si="6"/>
        <v/>
      </c>
    </row>
    <row r="65" spans="1:36" x14ac:dyDescent="0.25">
      <c r="A65" s="460" t="s">
        <v>3507</v>
      </c>
      <c r="B65" s="231" t="s">
        <v>2945</v>
      </c>
      <c r="C65" s="465"/>
      <c r="D65" s="255"/>
      <c r="O65" t="s">
        <v>1338</v>
      </c>
      <c r="Q65" s="306">
        <f>C126</f>
        <v>0</v>
      </c>
      <c r="R65" s="298">
        <v>0</v>
      </c>
      <c r="S65" s="303" t="s">
        <v>1336</v>
      </c>
      <c r="T65" s="298"/>
      <c r="U65" s="248" t="str">
        <f>VLOOKUP(Q66,$R$65:$S$85,2,FALSE)</f>
        <v>1-8</v>
      </c>
      <c r="AE65" s="287" t="s">
        <v>1222</v>
      </c>
      <c r="AF65" s="215" t="s">
        <v>2721</v>
      </c>
      <c r="AG65" s="288" t="str">
        <f ca="1">IF($AG$9="Quote","Included","")</f>
        <v/>
      </c>
      <c r="AH65">
        <v>59</v>
      </c>
      <c r="AI65" t="s">
        <v>2714</v>
      </c>
      <c r="AJ65" s="415" t="str">
        <f t="shared" ca="1" si="6"/>
        <v/>
      </c>
    </row>
    <row r="66" spans="1:36" x14ac:dyDescent="0.25">
      <c r="A66" s="460" t="s">
        <v>3508</v>
      </c>
      <c r="B66" s="231" t="s">
        <v>2946</v>
      </c>
      <c r="C66" s="463"/>
      <c r="D66" s="255"/>
      <c r="O66" t="s">
        <v>1063</v>
      </c>
      <c r="Q66" s="307">
        <f>IFERROR(VLOOKUP(Q65,R65:R85,1,TRUE),20)</f>
        <v>0</v>
      </c>
      <c r="R66" s="298">
        <v>1</v>
      </c>
      <c r="S66" s="303" t="s">
        <v>1336</v>
      </c>
      <c r="T66" s="298"/>
      <c r="U66" s="248"/>
      <c r="AE66" s="287" t="s">
        <v>1223</v>
      </c>
      <c r="AF66" t="s">
        <v>3619</v>
      </c>
      <c r="AG66" s="288" t="str">
        <f ca="1">IF($AG$9="Quote","Included - 10% / $25K waiver","")</f>
        <v/>
      </c>
      <c r="AH66">
        <v>60</v>
      </c>
      <c r="AI66" t="s">
        <v>2715</v>
      </c>
      <c r="AJ66" s="415" t="str">
        <f t="shared" ca="1" si="6"/>
        <v/>
      </c>
    </row>
    <row r="67" spans="1:36" x14ac:dyDescent="0.25">
      <c r="A67" s="460" t="s">
        <v>2902</v>
      </c>
      <c r="B67" s="215" t="s">
        <v>2947</v>
      </c>
      <c r="C67" s="462"/>
      <c r="D67" s="255"/>
      <c r="R67" s="298">
        <v>2</v>
      </c>
      <c r="S67" s="303" t="s">
        <v>1336</v>
      </c>
      <c r="T67" s="298"/>
      <c r="U67" s="248"/>
      <c r="AE67" s="287" t="s">
        <v>1224</v>
      </c>
      <c r="AF67" s="215" t="s">
        <v>2724</v>
      </c>
      <c r="AG67" s="288" t="str">
        <f ca="1">IF($AG$9="Quote","$500 / item","")</f>
        <v/>
      </c>
      <c r="AH67">
        <v>61</v>
      </c>
      <c r="AI67" t="s">
        <v>2716</v>
      </c>
      <c r="AJ67" s="415" t="str">
        <f t="shared" ca="1" si="6"/>
        <v/>
      </c>
    </row>
    <row r="68" spans="1:36" x14ac:dyDescent="0.25">
      <c r="A68" s="460" t="s">
        <v>3509</v>
      </c>
      <c r="B68" s="231" t="s">
        <v>2877</v>
      </c>
      <c r="C68" s="465"/>
      <c r="O68" s="298"/>
      <c r="R68" s="298">
        <v>3</v>
      </c>
      <c r="S68" s="303" t="s">
        <v>1336</v>
      </c>
      <c r="AE68" s="287" t="s">
        <v>1225</v>
      </c>
      <c r="AF68" s="215" t="s">
        <v>2709</v>
      </c>
      <c r="AG68" s="288" t="str">
        <f ca="1">IF($AG$9="Quote","$750 / item","")</f>
        <v/>
      </c>
      <c r="AH68">
        <v>62</v>
      </c>
      <c r="AI68" t="s">
        <v>2717</v>
      </c>
      <c r="AJ68" s="415" t="str">
        <f t="shared" ca="1" si="6"/>
        <v/>
      </c>
    </row>
    <row r="69" spans="1:36" x14ac:dyDescent="0.25">
      <c r="A69" s="460" t="s">
        <v>3510</v>
      </c>
      <c r="B69" s="231" t="s">
        <v>2878</v>
      </c>
      <c r="C69" s="465"/>
      <c r="O69" s="298"/>
      <c r="R69" s="298">
        <v>4</v>
      </c>
      <c r="S69" s="303" t="s">
        <v>1336</v>
      </c>
      <c r="AE69" s="287" t="s">
        <v>1226</v>
      </c>
      <c r="AF69" s="215" t="s">
        <v>2676</v>
      </c>
      <c r="AG69" s="288" t="str">
        <f ca="1">IF($AG$9="Quote","Included","")</f>
        <v/>
      </c>
      <c r="AH69">
        <v>63</v>
      </c>
      <c r="AI69" t="s">
        <v>2718</v>
      </c>
      <c r="AJ69" s="415" t="str">
        <f t="shared" ca="1" si="6"/>
        <v/>
      </c>
    </row>
    <row r="70" spans="1:36" x14ac:dyDescent="0.25">
      <c r="A70" s="460" t="s">
        <v>3511</v>
      </c>
      <c r="B70" s="231" t="s">
        <v>2879</v>
      </c>
      <c r="C70" s="465"/>
      <c r="O70" s="298"/>
      <c r="R70" s="298">
        <v>5</v>
      </c>
      <c r="S70" s="303" t="s">
        <v>1336</v>
      </c>
      <c r="AE70" s="287" t="s">
        <v>1227</v>
      </c>
      <c r="AF70" s="215" t="s">
        <v>2725</v>
      </c>
      <c r="AG70" s="289" t="str">
        <f ca="1">IF($AG$9="Quote",SUM(Calculator!$C$133:$C$134),"")</f>
        <v/>
      </c>
      <c r="AH70">
        <v>64</v>
      </c>
      <c r="AI70" t="s">
        <v>2719</v>
      </c>
      <c r="AJ70" s="415" t="str">
        <f t="shared" ca="1" si="6"/>
        <v/>
      </c>
    </row>
    <row r="71" spans="1:36" x14ac:dyDescent="0.25">
      <c r="A71" s="460" t="s">
        <v>3512</v>
      </c>
      <c r="B71" s="231" t="s">
        <v>2948</v>
      </c>
      <c r="C71" s="465"/>
      <c r="O71" s="298"/>
      <c r="R71" s="298">
        <v>6</v>
      </c>
      <c r="S71" s="303" t="s">
        <v>1336</v>
      </c>
      <c r="AE71" s="287" t="s">
        <v>1228</v>
      </c>
      <c r="AF71" s="215" t="s">
        <v>2697</v>
      </c>
      <c r="AG71" s="289" t="str">
        <f ca="1">IF($AG$9="Quote",SUM(Calculator!$C$133:$C$134),"")</f>
        <v/>
      </c>
      <c r="AH71">
        <v>65</v>
      </c>
      <c r="AI71" t="s">
        <v>2720</v>
      </c>
      <c r="AJ71" s="415" t="str">
        <f t="shared" ca="1" si="6"/>
        <v/>
      </c>
    </row>
    <row r="72" spans="1:36" x14ac:dyDescent="0.25">
      <c r="A72" s="460" t="s">
        <v>3513</v>
      </c>
      <c r="B72" s="231" t="s">
        <v>2949</v>
      </c>
      <c r="C72" s="465"/>
      <c r="O72" s="298"/>
      <c r="R72" s="298">
        <v>7</v>
      </c>
      <c r="S72" s="303" t="s">
        <v>1336</v>
      </c>
      <c r="AE72" s="287" t="s">
        <v>1229</v>
      </c>
      <c r="AF72" s="453"/>
      <c r="AG72" s="289" t="str">
        <f ca="1">IF($AG$9="Quote",SUM(Calculator!$C$133:$C$134),"")</f>
        <v/>
      </c>
      <c r="AH72">
        <v>66</v>
      </c>
      <c r="AI72" t="s">
        <v>2721</v>
      </c>
      <c r="AJ72" s="415" t="str">
        <f t="shared" ca="1" si="6"/>
        <v/>
      </c>
    </row>
    <row r="73" spans="1:36" x14ac:dyDescent="0.25">
      <c r="A73" s="460" t="s">
        <v>3514</v>
      </c>
      <c r="B73" s="231" t="s">
        <v>2950</v>
      </c>
      <c r="C73" s="463"/>
      <c r="O73" s="298"/>
      <c r="R73" s="298">
        <v>8</v>
      </c>
      <c r="S73" s="303" t="s">
        <v>1336</v>
      </c>
      <c r="AE73" s="287" t="s">
        <v>1230</v>
      </c>
      <c r="AF73" s="215" t="s">
        <v>1230</v>
      </c>
      <c r="AG73" s="289" t="str">
        <f ca="1">IF($AG$9="Quote",SUM(Calculator!$C$133:$C$134),"")</f>
        <v/>
      </c>
      <c r="AH73">
        <v>67</v>
      </c>
      <c r="AI73" t="s">
        <v>2722</v>
      </c>
      <c r="AJ73" s="415" t="str">
        <f t="shared" ca="1" si="6"/>
        <v/>
      </c>
    </row>
    <row r="74" spans="1:36" x14ac:dyDescent="0.25">
      <c r="A74" s="460" t="s">
        <v>2903</v>
      </c>
      <c r="B74" s="215" t="s">
        <v>2951</v>
      </c>
      <c r="C74" s="462"/>
      <c r="O74" s="298"/>
      <c r="R74" s="298">
        <v>9</v>
      </c>
      <c r="S74" s="299" t="s">
        <v>1337</v>
      </c>
      <c r="AE74" s="287" t="s">
        <v>1231</v>
      </c>
      <c r="AF74" s="215" t="s">
        <v>1231</v>
      </c>
      <c r="AG74" s="289" t="str">
        <f ca="1">IF($AG$9="Quote",SUM(Calculator!$C$133:$C$134),"")</f>
        <v/>
      </c>
      <c r="AH74">
        <v>68</v>
      </c>
      <c r="AI74" t="s">
        <v>2723</v>
      </c>
      <c r="AJ74" s="415" t="str">
        <f t="shared" ca="1" si="6"/>
        <v/>
      </c>
    </row>
    <row r="75" spans="1:36" x14ac:dyDescent="0.25">
      <c r="A75" s="460" t="s">
        <v>3515</v>
      </c>
      <c r="B75" s="231" t="s">
        <v>2880</v>
      </c>
      <c r="C75" s="465"/>
      <c r="O75" s="298"/>
      <c r="R75" s="298">
        <v>10</v>
      </c>
      <c r="S75" s="299" t="s">
        <v>1337</v>
      </c>
      <c r="AE75" s="287" t="s">
        <v>1232</v>
      </c>
      <c r="AF75" s="215" t="s">
        <v>2703</v>
      </c>
      <c r="AG75" s="289" t="str">
        <f ca="1">IF($AG$9="Quote",SUM(Calculator!$C$133:$C$134),"")</f>
        <v/>
      </c>
      <c r="AH75">
        <v>69</v>
      </c>
      <c r="AI75" t="s">
        <v>2724</v>
      </c>
      <c r="AJ75" s="415" t="str">
        <f t="shared" ca="1" si="6"/>
        <v/>
      </c>
    </row>
    <row r="76" spans="1:36" x14ac:dyDescent="0.25">
      <c r="A76" s="460" t="s">
        <v>3516</v>
      </c>
      <c r="B76" s="231" t="s">
        <v>2881</v>
      </c>
      <c r="C76" s="465"/>
      <c r="O76" s="298"/>
      <c r="R76" s="298">
        <v>11</v>
      </c>
      <c r="S76" s="299" t="s">
        <v>1337</v>
      </c>
      <c r="AE76" s="287" t="s">
        <v>1232</v>
      </c>
      <c r="AF76" s="215" t="s">
        <v>2704</v>
      </c>
      <c r="AG76" s="289" t="str">
        <f ca="1">IF($AG$9="Quote",SUM(Calculator!$C$133:$C$134),"")</f>
        <v/>
      </c>
      <c r="AH76">
        <v>70</v>
      </c>
      <c r="AI76" t="s">
        <v>2725</v>
      </c>
      <c r="AJ76" s="415" t="str">
        <f t="shared" ca="1" si="6"/>
        <v/>
      </c>
    </row>
    <row r="77" spans="1:36" x14ac:dyDescent="0.25">
      <c r="A77" s="460" t="s">
        <v>3517</v>
      </c>
      <c r="B77" s="231" t="s">
        <v>2882</v>
      </c>
      <c r="C77" s="465"/>
      <c r="O77" s="298"/>
      <c r="R77" s="298">
        <v>12</v>
      </c>
      <c r="S77" s="299" t="s">
        <v>1337</v>
      </c>
      <c r="AE77" s="287" t="s">
        <v>1233</v>
      </c>
      <c r="AF77" t="s">
        <v>2687</v>
      </c>
      <c r="AG77" s="289" t="str">
        <f ca="1">IF($AG$9="Quote",SUM(Calculator!$C$133:$C$134),"")</f>
        <v/>
      </c>
      <c r="AH77">
        <v>71</v>
      </c>
      <c r="AI77" t="s">
        <v>2726</v>
      </c>
      <c r="AJ77" s="415" t="str">
        <f t="shared" ref="AJ77:AJ140" ca="1" si="23">IFERROR(IF($AJ$7&lt;&gt;"Quote","",IF(VLOOKUP(AI77,$AF$7:$AG$248,2,FALSE)=0,"-",VLOOKUP(AI77,$AF$7:$AG$248,2,FALSE))),"-")</f>
        <v/>
      </c>
    </row>
    <row r="78" spans="1:36" x14ac:dyDescent="0.25">
      <c r="A78" s="460" t="s">
        <v>3518</v>
      </c>
      <c r="B78" s="231" t="s">
        <v>2952</v>
      </c>
      <c r="C78" s="465"/>
      <c r="O78" s="298"/>
      <c r="R78" s="298">
        <v>13</v>
      </c>
      <c r="S78" s="299" t="s">
        <v>1337</v>
      </c>
      <c r="AE78" s="287" t="s">
        <v>1234</v>
      </c>
      <c r="AF78" s="215" t="s">
        <v>1234</v>
      </c>
      <c r="AG78" s="289" t="str">
        <f ca="1">IF($AG$9="Quote",SUM(Calculator!$C$133:$C$134),"")</f>
        <v/>
      </c>
      <c r="AH78">
        <v>72</v>
      </c>
      <c r="AI78" t="s">
        <v>2727</v>
      </c>
      <c r="AJ78" s="415" t="str">
        <f t="shared" ca="1" si="23"/>
        <v/>
      </c>
    </row>
    <row r="79" spans="1:36" x14ac:dyDescent="0.25">
      <c r="A79" s="460" t="s">
        <v>3519</v>
      </c>
      <c r="B79" s="231" t="s">
        <v>2953</v>
      </c>
      <c r="C79" s="465"/>
      <c r="O79" s="298"/>
      <c r="R79" s="298">
        <v>14</v>
      </c>
      <c r="S79" s="299" t="s">
        <v>1337</v>
      </c>
      <c r="AE79" s="287" t="s">
        <v>1235</v>
      </c>
      <c r="AF79" s="215" t="s">
        <v>1235</v>
      </c>
      <c r="AG79" s="289" t="str">
        <f ca="1">IF($AG$9="Quote",SUM(Calculator!$C$133:$C$134),"")</f>
        <v/>
      </c>
      <c r="AH79">
        <v>73</v>
      </c>
      <c r="AI79" t="s">
        <v>2659</v>
      </c>
      <c r="AJ79" s="415" t="str">
        <f t="shared" ca="1" si="23"/>
        <v/>
      </c>
    </row>
    <row r="80" spans="1:36" x14ac:dyDescent="0.25">
      <c r="A80" s="460" t="s">
        <v>3520</v>
      </c>
      <c r="B80" s="231" t="s">
        <v>2954</v>
      </c>
      <c r="C80" s="463"/>
      <c r="O80" s="298"/>
      <c r="R80" s="298">
        <v>15</v>
      </c>
      <c r="S80" s="299" t="s">
        <v>1337</v>
      </c>
      <c r="AE80" s="287" t="s">
        <v>1236</v>
      </c>
      <c r="AF80" s="215" t="s">
        <v>1236</v>
      </c>
      <c r="AG80" s="289" t="str">
        <f ca="1">IF($AG$9="Quote",SUM(Calculator!$C$133:$C$134),"")</f>
        <v/>
      </c>
      <c r="AH80">
        <v>74</v>
      </c>
      <c r="AI80" t="s">
        <v>2728</v>
      </c>
      <c r="AJ80" s="415" t="str">
        <f t="shared" ca="1" si="23"/>
        <v/>
      </c>
    </row>
    <row r="81" spans="1:36" x14ac:dyDescent="0.25">
      <c r="A81" s="460" t="s">
        <v>2904</v>
      </c>
      <c r="B81" s="215" t="s">
        <v>2955</v>
      </c>
      <c r="C81" s="462"/>
      <c r="O81" s="298"/>
      <c r="R81" s="298">
        <v>16</v>
      </c>
      <c r="S81" s="299" t="s">
        <v>1337</v>
      </c>
      <c r="AE81" s="287" t="s">
        <v>1237</v>
      </c>
      <c r="AF81" s="215" t="s">
        <v>2727</v>
      </c>
      <c r="AG81" s="289" t="str">
        <f ca="1">IF($AG$9="Quote",SUM(Calculator!$C$133:$C$134),"")</f>
        <v/>
      </c>
      <c r="AH81">
        <v>75</v>
      </c>
      <c r="AI81" t="s">
        <v>2729</v>
      </c>
      <c r="AJ81" s="415" t="str">
        <f t="shared" ca="1" si="23"/>
        <v/>
      </c>
    </row>
    <row r="82" spans="1:36" x14ac:dyDescent="0.25">
      <c r="A82" s="460" t="s">
        <v>3521</v>
      </c>
      <c r="B82" s="231" t="s">
        <v>2883</v>
      </c>
      <c r="C82" s="465"/>
      <c r="O82" s="298"/>
      <c r="R82" s="298">
        <v>17</v>
      </c>
      <c r="S82" s="299" t="s">
        <v>1337</v>
      </c>
      <c r="AE82" s="287" t="s">
        <v>1238</v>
      </c>
      <c r="AF82" s="215" t="s">
        <v>2707</v>
      </c>
      <c r="AG82" s="289" t="str">
        <f ca="1">IF($AG$9="Quote",SUM(Calculator!$C$133:$C$134),"")</f>
        <v/>
      </c>
      <c r="AH82">
        <v>76</v>
      </c>
      <c r="AI82" t="s">
        <v>2730</v>
      </c>
      <c r="AJ82" s="415" t="str">
        <f t="shared" ca="1" si="23"/>
        <v/>
      </c>
    </row>
    <row r="83" spans="1:36" x14ac:dyDescent="0.25">
      <c r="A83" s="460" t="s">
        <v>3522</v>
      </c>
      <c r="B83" s="231" t="s">
        <v>2884</v>
      </c>
      <c r="C83" s="465"/>
      <c r="O83" s="298"/>
      <c r="R83" s="298">
        <v>18</v>
      </c>
      <c r="S83" s="299" t="s">
        <v>1337</v>
      </c>
      <c r="AE83" s="287" t="s">
        <v>1239</v>
      </c>
      <c r="AF83" s="215" t="s">
        <v>2714</v>
      </c>
      <c r="AG83" s="289" t="str">
        <f ca="1">IF($AG$9="Quote",SUM(Calculator!$C$133:$C$134),"")</f>
        <v/>
      </c>
      <c r="AH83">
        <v>77</v>
      </c>
      <c r="AI83" t="s">
        <v>1245</v>
      </c>
      <c r="AJ83" s="415" t="str">
        <f t="shared" ca="1" si="23"/>
        <v/>
      </c>
    </row>
    <row r="84" spans="1:36" x14ac:dyDescent="0.25">
      <c r="A84" s="460" t="s">
        <v>3523</v>
      </c>
      <c r="B84" s="231" t="s">
        <v>2885</v>
      </c>
      <c r="C84" s="465"/>
      <c r="O84" s="298"/>
      <c r="R84" s="298">
        <v>19</v>
      </c>
      <c r="S84" s="299" t="s">
        <v>1337</v>
      </c>
      <c r="AE84" s="287" t="s">
        <v>1240</v>
      </c>
      <c r="AF84" s="215" t="s">
        <v>1240</v>
      </c>
      <c r="AG84" s="289" t="str">
        <f ca="1">IF($AG$9="Quote",SUM(Calculator!$C$133:$C$134),"")</f>
        <v/>
      </c>
      <c r="AH84">
        <v>78</v>
      </c>
      <c r="AI84" t="s">
        <v>1242</v>
      </c>
      <c r="AJ84" s="415" t="str">
        <f t="shared" ca="1" si="23"/>
        <v/>
      </c>
    </row>
    <row r="85" spans="1:36" x14ac:dyDescent="0.25">
      <c r="A85" s="460" t="s">
        <v>3524</v>
      </c>
      <c r="B85" s="231" t="s">
        <v>2956</v>
      </c>
      <c r="C85" s="465"/>
      <c r="O85" s="298"/>
      <c r="R85" s="298">
        <v>20</v>
      </c>
      <c r="S85" s="299" t="s">
        <v>1337</v>
      </c>
      <c r="AE85" s="287" t="s">
        <v>1241</v>
      </c>
      <c r="AF85" s="215" t="s">
        <v>2715</v>
      </c>
      <c r="AG85" s="289" t="str">
        <f ca="1">IF($AG$9="Quote",SUM(Calculator!$C$133:$C$134),"")</f>
        <v/>
      </c>
      <c r="AH85">
        <v>79</v>
      </c>
      <c r="AI85" t="s">
        <v>2731</v>
      </c>
      <c r="AJ85" s="415" t="str">
        <f t="shared" ca="1" si="23"/>
        <v/>
      </c>
    </row>
    <row r="86" spans="1:36" x14ac:dyDescent="0.25">
      <c r="A86" s="460" t="s">
        <v>3525</v>
      </c>
      <c r="B86" s="231" t="s">
        <v>2957</v>
      </c>
      <c r="C86" s="465"/>
      <c r="O86" s="185"/>
      <c r="AE86" s="287" t="s">
        <v>1242</v>
      </c>
      <c r="AF86" s="215" t="s">
        <v>1242</v>
      </c>
      <c r="AG86" s="289" t="str">
        <f ca="1">IF($AG$9="Quote",SUM(Calculator!$C$133:$C$134),"")</f>
        <v/>
      </c>
      <c r="AH86">
        <v>80</v>
      </c>
      <c r="AI86" t="s">
        <v>2732</v>
      </c>
      <c r="AJ86" s="415" t="str">
        <f t="shared" ca="1" si="23"/>
        <v/>
      </c>
    </row>
    <row r="87" spans="1:36" x14ac:dyDescent="0.25">
      <c r="A87" s="460" t="s">
        <v>3526</v>
      </c>
      <c r="B87" s="231" t="s">
        <v>2958</v>
      </c>
      <c r="C87" s="463"/>
      <c r="O87" s="493" t="s">
        <v>1341</v>
      </c>
      <c r="AE87" s="287" t="s">
        <v>1243</v>
      </c>
      <c r="AF87" s="215" t="s">
        <v>2701</v>
      </c>
      <c r="AG87" s="289" t="str">
        <f ca="1">IF($AG$9="Quote",SUM(Calculator!$C$133:$C$134),"")</f>
        <v/>
      </c>
      <c r="AH87">
        <v>81</v>
      </c>
      <c r="AI87" t="s">
        <v>1217</v>
      </c>
      <c r="AJ87" s="415" t="str">
        <f t="shared" ca="1" si="23"/>
        <v/>
      </c>
    </row>
    <row r="88" spans="1:36" x14ac:dyDescent="0.25">
      <c r="A88" s="411" t="s">
        <v>3527</v>
      </c>
      <c r="B88" s="231" t="s">
        <v>1414</v>
      </c>
      <c r="C88" s="466"/>
      <c r="O88" s="5" t="s">
        <v>1056</v>
      </c>
      <c r="Q88" s="242" t="s">
        <v>1057</v>
      </c>
      <c r="R88" s="243" t="s">
        <v>1058</v>
      </c>
      <c r="S88" s="244" t="s">
        <v>1059</v>
      </c>
      <c r="T88" s="243"/>
      <c r="U88" s="244" t="s">
        <v>1060</v>
      </c>
      <c r="AE88" s="287" t="s">
        <v>1244</v>
      </c>
      <c r="AF88" s="215" t="s">
        <v>2708</v>
      </c>
      <c r="AG88" s="289" t="str">
        <f ca="1">IF($AG$9="Quote",SUM(Calculator!$C$133:$C$134),"")</f>
        <v/>
      </c>
      <c r="AH88">
        <v>82</v>
      </c>
      <c r="AI88" t="s">
        <v>1231</v>
      </c>
      <c r="AJ88" s="415" t="str">
        <f t="shared" ca="1" si="23"/>
        <v/>
      </c>
    </row>
    <row r="89" spans="1:36" x14ac:dyDescent="0.25">
      <c r="A89" s="411" t="s">
        <v>3536</v>
      </c>
      <c r="B89" s="231" t="s">
        <v>3407</v>
      </c>
      <c r="C89" s="467"/>
      <c r="O89" t="s">
        <v>1342</v>
      </c>
      <c r="Q89" s="419">
        <f>C127</f>
        <v>0</v>
      </c>
      <c r="R89" s="185" t="s">
        <v>1344</v>
      </c>
      <c r="S89">
        <v>1</v>
      </c>
      <c r="T89" s="185"/>
      <c r="U89" s="246">
        <f>IFERROR(VLOOKUP(Q91,$R$89:$S$92,2,FALSE),3)</f>
        <v>3</v>
      </c>
      <c r="AE89" s="287" t="s">
        <v>1245</v>
      </c>
      <c r="AF89" s="215" t="s">
        <v>1245</v>
      </c>
      <c r="AG89" s="289" t="str">
        <f ca="1">IF($AG$9="Quote",SUM(Calculator!$C$133:$C$134),"")</f>
        <v/>
      </c>
      <c r="AH89">
        <v>83</v>
      </c>
      <c r="AI89" t="s">
        <v>2733</v>
      </c>
      <c r="AJ89" s="415" t="str">
        <f t="shared" ca="1" si="23"/>
        <v/>
      </c>
    </row>
    <row r="90" spans="1:36" x14ac:dyDescent="0.25">
      <c r="A90" s="489">
        <v>1000130</v>
      </c>
      <c r="B90" s="231" t="s">
        <v>1050</v>
      </c>
      <c r="C90" s="467"/>
      <c r="O90" t="s">
        <v>1343</v>
      </c>
      <c r="Q90" s="306" t="str">
        <f>U65</f>
        <v>1-8</v>
      </c>
      <c r="R90" s="185" t="s">
        <v>1345</v>
      </c>
      <c r="S90">
        <v>2</v>
      </c>
      <c r="T90" s="185"/>
      <c r="U90" s="248"/>
      <c r="AE90" s="287" t="s">
        <v>1246</v>
      </c>
      <c r="AF90" s="215" t="s">
        <v>1246</v>
      </c>
      <c r="AG90" s="289" t="str">
        <f ca="1">IF($AG$9="Quote",SUM(Calculator!$C$133:$C$134),"")</f>
        <v/>
      </c>
      <c r="AH90">
        <v>84</v>
      </c>
      <c r="AI90" t="s">
        <v>2734</v>
      </c>
      <c r="AJ90" s="415" t="str">
        <f t="shared" ca="1" si="23"/>
        <v/>
      </c>
    </row>
    <row r="91" spans="1:36" x14ac:dyDescent="0.25">
      <c r="A91" s="489">
        <v>1000140</v>
      </c>
      <c r="B91" s="231" t="s">
        <v>1051</v>
      </c>
      <c r="C91" s="467"/>
      <c r="O91" t="s">
        <v>1063</v>
      </c>
      <c r="Q91" s="247" t="str">
        <f>CONCATENATE(Q89," ",Q90)</f>
        <v>0 1-8</v>
      </c>
      <c r="R91" s="185" t="s">
        <v>1346</v>
      </c>
      <c r="S91">
        <v>1</v>
      </c>
      <c r="T91" s="185"/>
      <c r="U91" s="248"/>
      <c r="AE91" s="287" t="s">
        <v>1247</v>
      </c>
      <c r="AF91" s="215" t="s">
        <v>2721</v>
      </c>
      <c r="AG91" s="289" t="str">
        <f ca="1">IF($AG$9="Quote",SUM(Calculator!$C$133:$C$134),"")</f>
        <v/>
      </c>
      <c r="AH91">
        <v>85</v>
      </c>
      <c r="AI91" t="s">
        <v>2735</v>
      </c>
      <c r="AJ91" s="415" t="str">
        <f t="shared" ca="1" si="23"/>
        <v/>
      </c>
    </row>
    <row r="92" spans="1:36" x14ac:dyDescent="0.25">
      <c r="A92" s="411" t="s">
        <v>3528</v>
      </c>
      <c r="B92" s="231" t="s">
        <v>1052</v>
      </c>
      <c r="C92" s="467"/>
      <c r="R92" s="185" t="s">
        <v>1347</v>
      </c>
      <c r="S92">
        <v>3</v>
      </c>
      <c r="T92" s="185"/>
      <c r="U92" s="248"/>
      <c r="AE92" s="287" t="s">
        <v>1248</v>
      </c>
      <c r="AF92" s="215" t="s">
        <v>2728</v>
      </c>
      <c r="AG92" s="289" t="str">
        <f ca="1">IF(AG9="Quote",SUM(Calculator!$C$133:$C$134),"")</f>
        <v/>
      </c>
      <c r="AH92">
        <v>86</v>
      </c>
      <c r="AI92" t="s">
        <v>2853</v>
      </c>
      <c r="AJ92" s="415" t="str">
        <f t="shared" ca="1" si="23"/>
        <v/>
      </c>
    </row>
    <row r="93" spans="1:36" x14ac:dyDescent="0.25">
      <c r="A93" s="411" t="s">
        <v>3529</v>
      </c>
      <c r="B93" s="231" t="s">
        <v>2892</v>
      </c>
      <c r="C93" s="467"/>
      <c r="P93" s="5" t="s">
        <v>1348</v>
      </c>
      <c r="R93" s="298"/>
      <c r="T93" s="298"/>
      <c r="U93" s="248"/>
      <c r="AE93" s="287" t="s">
        <v>2661</v>
      </c>
      <c r="AF93" s="215" t="s">
        <v>2717</v>
      </c>
      <c r="AG93" s="288" t="str">
        <f ca="1">IF(AG9="Quote",250000,"")</f>
        <v/>
      </c>
      <c r="AH93">
        <v>87</v>
      </c>
      <c r="AI93" t="s">
        <v>1234</v>
      </c>
      <c r="AJ93" s="415" t="str">
        <f t="shared" ca="1" si="23"/>
        <v/>
      </c>
    </row>
    <row r="94" spans="1:36" x14ac:dyDescent="0.25">
      <c r="A94" s="411" t="s">
        <v>3530</v>
      </c>
      <c r="B94" s="231" t="s">
        <v>2909</v>
      </c>
      <c r="C94" s="467"/>
      <c r="O94" s="185"/>
      <c r="P94" t="s">
        <v>2</v>
      </c>
      <c r="Q94" t="s">
        <v>1093</v>
      </c>
      <c r="AE94" s="287" t="s">
        <v>2660</v>
      </c>
      <c r="AF94" s="215" t="s">
        <v>2718</v>
      </c>
      <c r="AG94" s="288" t="str">
        <f ca="1">IF(AG9="Quote",100000,"")</f>
        <v/>
      </c>
      <c r="AH94">
        <v>88</v>
      </c>
      <c r="AI94" t="s">
        <v>2736</v>
      </c>
      <c r="AJ94" s="415" t="str">
        <f t="shared" ca="1" si="23"/>
        <v/>
      </c>
    </row>
    <row r="95" spans="1:36" x14ac:dyDescent="0.25">
      <c r="A95" s="411" t="s">
        <v>3531</v>
      </c>
      <c r="B95" s="231" t="s">
        <v>2910</v>
      </c>
      <c r="C95" s="467"/>
      <c r="O95" s="185"/>
      <c r="P95" t="s">
        <v>243</v>
      </c>
      <c r="Q95" t="s">
        <v>1094</v>
      </c>
      <c r="AB95" s="490"/>
      <c r="AC95" s="491"/>
      <c r="AD95"/>
      <c r="AE95" s="287" t="s">
        <v>1250</v>
      </c>
      <c r="AF95" s="215" t="s">
        <v>2731</v>
      </c>
      <c r="AG95" s="288" t="str">
        <f ca="1">IF(AG9="Quote","Included - 25% of contents limit","")</f>
        <v/>
      </c>
      <c r="AH95">
        <v>89</v>
      </c>
      <c r="AI95" t="s">
        <v>1246</v>
      </c>
      <c r="AJ95" s="415" t="str">
        <f t="shared" ca="1" si="23"/>
        <v/>
      </c>
    </row>
    <row r="96" spans="1:36" x14ac:dyDescent="0.25">
      <c r="A96" s="489">
        <v>1000160</v>
      </c>
      <c r="B96" s="231" t="s">
        <v>1053</v>
      </c>
      <c r="C96" s="467"/>
      <c r="O96" s="185"/>
      <c r="P96" t="s">
        <v>4</v>
      </c>
      <c r="Q96" t="s">
        <v>1095</v>
      </c>
      <c r="AB96" s="490"/>
      <c r="AC96" s="491"/>
      <c r="AD96"/>
      <c r="AE96" s="287" t="s">
        <v>1251</v>
      </c>
      <c r="AF96" s="215" t="s">
        <v>2711</v>
      </c>
      <c r="AG96" s="288" t="str">
        <f ca="1">IF(AG9="Quote","Included","")</f>
        <v/>
      </c>
      <c r="AH96">
        <v>90</v>
      </c>
      <c r="AI96" t="s">
        <v>2737</v>
      </c>
      <c r="AJ96" s="415" t="str">
        <f t="shared" ca="1" si="23"/>
        <v/>
      </c>
    </row>
    <row r="97" spans="1:36" x14ac:dyDescent="0.25">
      <c r="A97" s="411" t="s">
        <v>3537</v>
      </c>
      <c r="B97" s="231" t="s">
        <v>3608</v>
      </c>
      <c r="C97" s="467"/>
      <c r="O97" s="185"/>
      <c r="AB97" s="490"/>
      <c r="AC97" s="491"/>
      <c r="AD97"/>
      <c r="AE97" s="217" t="s">
        <v>1175</v>
      </c>
      <c r="AF97" s="215" t="s">
        <v>2732</v>
      </c>
      <c r="AG97" s="289" t="str">
        <f ca="1">IF(AG9="Quote",Calculator!C135,"")</f>
        <v/>
      </c>
      <c r="AH97">
        <v>91</v>
      </c>
      <c r="AI97" t="s">
        <v>3622</v>
      </c>
      <c r="AJ97" s="415" t="str">
        <f t="shared" ca="1" si="23"/>
        <v/>
      </c>
    </row>
    <row r="98" spans="1:36" x14ac:dyDescent="0.25">
      <c r="A98" s="411" t="s">
        <v>3532</v>
      </c>
      <c r="B98" s="231" t="s">
        <v>2888</v>
      </c>
      <c r="C98" s="468"/>
      <c r="O98" s="185"/>
      <c r="AB98" s="490"/>
      <c r="AC98" s="491"/>
      <c r="AD98"/>
      <c r="AE98" s="217" t="s">
        <v>1180</v>
      </c>
      <c r="AF98" s="215" t="s">
        <v>2851</v>
      </c>
      <c r="AG98" s="229" t="str">
        <f ca="1">IF(AG9="Quote",Calculator!C136,"")</f>
        <v/>
      </c>
      <c r="AH98">
        <v>92</v>
      </c>
      <c r="AI98" t="s">
        <v>2739</v>
      </c>
      <c r="AJ98" s="415" t="str">
        <f t="shared" ca="1" si="23"/>
        <v/>
      </c>
    </row>
    <row r="99" spans="1:36" x14ac:dyDescent="0.25">
      <c r="A99" s="489">
        <v>1000100</v>
      </c>
      <c r="B99" s="231" t="s">
        <v>1054</v>
      </c>
      <c r="C99" s="467"/>
      <c r="O99" s="185"/>
      <c r="AB99" s="490"/>
      <c r="AC99" s="491"/>
      <c r="AD99"/>
      <c r="AE99" s="217" t="s">
        <v>1218</v>
      </c>
      <c r="AF99" s="215" t="s">
        <v>1218</v>
      </c>
      <c r="AG99" s="224" t="str">
        <f ca="1">IF(AG9="Quote","Refer","")</f>
        <v/>
      </c>
      <c r="AH99">
        <v>93</v>
      </c>
      <c r="AI99" t="s">
        <v>3623</v>
      </c>
      <c r="AJ99" s="415" t="str">
        <f t="shared" ca="1" si="23"/>
        <v/>
      </c>
    </row>
    <row r="100" spans="1:36" x14ac:dyDescent="0.25">
      <c r="A100" s="489" t="s">
        <v>3533</v>
      </c>
      <c r="B100" s="405" t="s">
        <v>2915</v>
      </c>
      <c r="C100" s="467"/>
      <c r="O100" s="493" t="s">
        <v>5</v>
      </c>
      <c r="AB100" s="490"/>
      <c r="AC100" s="491"/>
      <c r="AD100"/>
      <c r="AE100" s="217" t="s">
        <v>1271</v>
      </c>
      <c r="AF100" s="215" t="s">
        <v>1271</v>
      </c>
      <c r="AG100" s="224" t="str">
        <f ca="1">IF(AG9="Quote","Refer","")</f>
        <v/>
      </c>
      <c r="AH100">
        <v>94</v>
      </c>
      <c r="AI100" t="s">
        <v>2741</v>
      </c>
      <c r="AJ100" s="415" t="str">
        <f t="shared" ca="1" si="23"/>
        <v/>
      </c>
    </row>
    <row r="101" spans="1:36" x14ac:dyDescent="0.25">
      <c r="A101" s="489">
        <v>1000230</v>
      </c>
      <c r="B101" s="447" t="s">
        <v>3418</v>
      </c>
      <c r="C101" s="469"/>
      <c r="O101" s="5" t="s">
        <v>1056</v>
      </c>
      <c r="Q101" s="242" t="s">
        <v>1057</v>
      </c>
      <c r="R101" s="243" t="s">
        <v>1058</v>
      </c>
      <c r="S101" s="244" t="s">
        <v>1059</v>
      </c>
      <c r="T101" s="243"/>
      <c r="U101" s="244" t="s">
        <v>1060</v>
      </c>
      <c r="AB101" s="490"/>
      <c r="AC101" s="491"/>
      <c r="AD101"/>
      <c r="AE101" s="217" t="s">
        <v>1219</v>
      </c>
      <c r="AF101" s="215" t="s">
        <v>1360</v>
      </c>
      <c r="AG101" s="289" t="str">
        <f ca="1">IF($AG$9="Quote",Calculator!C161,"")</f>
        <v/>
      </c>
      <c r="AH101">
        <v>95</v>
      </c>
      <c r="AI101" t="s">
        <v>2742</v>
      </c>
      <c r="AJ101" s="415" t="str">
        <f t="shared" ca="1" si="23"/>
        <v/>
      </c>
    </row>
    <row r="102" spans="1:36" x14ac:dyDescent="0.25">
      <c r="A102" s="489">
        <v>1000240</v>
      </c>
      <c r="B102" s="215" t="s">
        <v>3419</v>
      </c>
      <c r="C102" s="470"/>
      <c r="O102" t="s">
        <v>1350</v>
      </c>
      <c r="Q102" s="420">
        <f>C128</f>
        <v>0</v>
      </c>
      <c r="R102" s="460" t="s">
        <v>3582</v>
      </c>
      <c r="S102" t="s">
        <v>6</v>
      </c>
      <c r="T102" s="185"/>
      <c r="U102" s="246" t="str">
        <f>IFERROR(VLOOKUP(Q102,$R$102:$S$111,2,FALSE),"Class C")</f>
        <v>Class C</v>
      </c>
      <c r="AB102" s="490"/>
      <c r="AC102" s="491"/>
      <c r="AD102"/>
      <c r="AE102" s="217" t="s">
        <v>2475</v>
      </c>
      <c r="AF102" s="215" t="s">
        <v>3040</v>
      </c>
      <c r="AG102" s="230" t="str">
        <f ca="1">IF($AG$9="Quote",Calculator!C184,"")</f>
        <v/>
      </c>
      <c r="AH102">
        <v>96</v>
      </c>
      <c r="AI102" t="s">
        <v>2743</v>
      </c>
      <c r="AJ102" s="415" t="str">
        <f t="shared" ca="1" si="23"/>
        <v/>
      </c>
    </row>
    <row r="103" spans="1:36" x14ac:dyDescent="0.25">
      <c r="A103" s="489">
        <v>1000250</v>
      </c>
      <c r="B103" s="215" t="s">
        <v>3420</v>
      </c>
      <c r="C103" s="470"/>
      <c r="Q103" s="175"/>
      <c r="R103" s="460" t="s">
        <v>3583</v>
      </c>
      <c r="S103" t="s">
        <v>6</v>
      </c>
      <c r="T103" s="185"/>
      <c r="U103" s="248"/>
      <c r="AB103" s="490"/>
      <c r="AC103" s="491"/>
      <c r="AD103"/>
      <c r="AE103" s="217" t="s">
        <v>2504</v>
      </c>
      <c r="AF103" s="215"/>
      <c r="AG103" s="230" t="str">
        <f ca="1">IF($AG$9="Quote",Calculator!C185,"")</f>
        <v/>
      </c>
      <c r="AH103">
        <v>97</v>
      </c>
      <c r="AI103" t="s">
        <v>3624</v>
      </c>
      <c r="AJ103" s="415" t="str">
        <f t="shared" ca="1" si="23"/>
        <v/>
      </c>
    </row>
    <row r="104" spans="1:36" x14ac:dyDescent="0.25">
      <c r="A104" s="489">
        <v>1000260</v>
      </c>
      <c r="B104" s="215" t="s">
        <v>3421</v>
      </c>
      <c r="C104" s="470"/>
      <c r="R104" s="460" t="s">
        <v>3584</v>
      </c>
      <c r="S104" t="s">
        <v>6</v>
      </c>
      <c r="T104" s="185"/>
      <c r="U104" s="248"/>
      <c r="AB104" s="490"/>
      <c r="AC104" s="491"/>
      <c r="AD104"/>
      <c r="AE104" s="217" t="s">
        <v>2505</v>
      </c>
      <c r="AF104" s="215"/>
      <c r="AG104" s="230" t="str">
        <f ca="1">IF($AG$9="Quote",Calculator!C186,"")</f>
        <v/>
      </c>
      <c r="AH104">
        <v>98</v>
      </c>
      <c r="AI104" t="s">
        <v>3445</v>
      </c>
      <c r="AJ104" s="415" t="str">
        <f t="shared" ca="1" si="23"/>
        <v/>
      </c>
    </row>
    <row r="105" spans="1:36" x14ac:dyDescent="0.25">
      <c r="A105" s="489">
        <v>1000270</v>
      </c>
      <c r="B105" s="215" t="s">
        <v>3422</v>
      </c>
      <c r="C105" s="470"/>
      <c r="R105" s="460" t="s">
        <v>3585</v>
      </c>
      <c r="S105" t="s">
        <v>7</v>
      </c>
      <c r="T105" s="185"/>
      <c r="U105" s="248"/>
      <c r="AB105" s="490"/>
      <c r="AC105" s="491"/>
      <c r="AE105" s="217" t="s">
        <v>2506</v>
      </c>
      <c r="AF105" s="215" t="s">
        <v>3041</v>
      </c>
      <c r="AG105" s="230" t="str">
        <f ca="1">IF($AG$9="Quote",Calculator!C187,"")</f>
        <v/>
      </c>
      <c r="AH105">
        <v>99</v>
      </c>
      <c r="AI105" t="s">
        <v>2745</v>
      </c>
      <c r="AJ105" s="415" t="str">
        <f t="shared" ca="1" si="23"/>
        <v/>
      </c>
    </row>
    <row r="106" spans="1:36" x14ac:dyDescent="0.25">
      <c r="A106" s="489">
        <v>1000280</v>
      </c>
      <c r="B106" s="215" t="s">
        <v>3423</v>
      </c>
      <c r="C106" s="470"/>
      <c r="R106" s="460" t="s">
        <v>3586</v>
      </c>
      <c r="S106" t="s">
        <v>7</v>
      </c>
      <c r="T106" s="185"/>
      <c r="AE106" s="217" t="s">
        <v>2507</v>
      </c>
      <c r="AF106" s="215"/>
      <c r="AG106" s="230" t="str">
        <f ca="1">IF($AG$9="Quote",Calculator!C188,"")</f>
        <v/>
      </c>
      <c r="AH106">
        <v>100</v>
      </c>
      <c r="AI106" t="s">
        <v>2746</v>
      </c>
      <c r="AJ106" s="415" t="str">
        <f t="shared" ca="1" si="23"/>
        <v/>
      </c>
    </row>
    <row r="107" spans="1:36" x14ac:dyDescent="0.25">
      <c r="A107" s="489" t="s">
        <v>3563</v>
      </c>
      <c r="B107" s="215" t="s">
        <v>3424</v>
      </c>
      <c r="C107" s="470"/>
      <c r="O107" s="185"/>
      <c r="R107" s="460" t="s">
        <v>3587</v>
      </c>
      <c r="S107" t="s">
        <v>7</v>
      </c>
      <c r="T107" s="485"/>
      <c r="AE107" s="217" t="s">
        <v>2508</v>
      </c>
      <c r="AF107" s="215" t="s">
        <v>2508</v>
      </c>
      <c r="AG107" s="230" t="str">
        <f ca="1">IF($AG$9="Quote",Calculator!C189,"")</f>
        <v/>
      </c>
      <c r="AH107">
        <v>101</v>
      </c>
      <c r="AI107" t="s">
        <v>2747</v>
      </c>
      <c r="AJ107" s="415" t="str">
        <f t="shared" ca="1" si="23"/>
        <v/>
      </c>
    </row>
    <row r="108" spans="1:36" x14ac:dyDescent="0.25">
      <c r="A108" s="411" t="s">
        <v>3538</v>
      </c>
      <c r="B108" s="231" t="s">
        <v>568</v>
      </c>
      <c r="C108" s="467"/>
      <c r="O108" s="185"/>
      <c r="R108" s="460" t="s">
        <v>3654</v>
      </c>
      <c r="S108" t="s">
        <v>8</v>
      </c>
      <c r="T108" s="485"/>
      <c r="AE108" s="217" t="s">
        <v>2509</v>
      </c>
      <c r="AF108" s="215"/>
      <c r="AG108" s="230" t="str">
        <f ca="1">IF($AG$9="Quote",Calculator!C190,"")</f>
        <v/>
      </c>
      <c r="AH108">
        <v>102</v>
      </c>
      <c r="AI108" t="s">
        <v>2748</v>
      </c>
      <c r="AJ108" s="415" t="str">
        <f t="shared" ca="1" si="23"/>
        <v/>
      </c>
    </row>
    <row r="109" spans="1:36" x14ac:dyDescent="0.25">
      <c r="A109" s="489">
        <v>47000</v>
      </c>
      <c r="B109" s="231" t="s">
        <v>3612</v>
      </c>
      <c r="C109" s="468"/>
      <c r="O109" s="326"/>
      <c r="AE109" s="217" t="s">
        <v>2510</v>
      </c>
      <c r="AF109" s="215" t="s">
        <v>3027</v>
      </c>
      <c r="AG109" s="224" t="str">
        <f ca="1">IF($AG$9="Quote",Calculator!E184,"")</f>
        <v/>
      </c>
      <c r="AH109">
        <v>103</v>
      </c>
      <c r="AI109" t="s">
        <v>2749</v>
      </c>
      <c r="AJ109" s="415" t="str">
        <f t="shared" ca="1" si="23"/>
        <v/>
      </c>
    </row>
    <row r="110" spans="1:36" x14ac:dyDescent="0.25">
      <c r="A110" s="489">
        <v>47030</v>
      </c>
      <c r="B110" s="231" t="s">
        <v>3409</v>
      </c>
      <c r="C110" s="470"/>
      <c r="O110" s="326"/>
      <c r="AE110" s="217" t="s">
        <v>2511</v>
      </c>
      <c r="AF110" s="215" t="s">
        <v>3026</v>
      </c>
      <c r="AG110" s="224" t="str">
        <f ca="1">IF($AG$9="Quote",Calculator!E185,"")</f>
        <v/>
      </c>
      <c r="AH110">
        <v>104</v>
      </c>
      <c r="AI110" t="s">
        <v>2750</v>
      </c>
      <c r="AJ110" s="415" t="str">
        <f t="shared" ca="1" si="23"/>
        <v/>
      </c>
    </row>
    <row r="111" spans="1:36" x14ac:dyDescent="0.25">
      <c r="A111" s="489">
        <v>47060</v>
      </c>
      <c r="B111" s="231" t="s">
        <v>3410</v>
      </c>
      <c r="C111" s="470"/>
      <c r="O111" s="326"/>
      <c r="AE111" s="217" t="s">
        <v>2512</v>
      </c>
      <c r="AF111" s="215" t="s">
        <v>3029</v>
      </c>
      <c r="AG111" s="224" t="str">
        <f ca="1">IF($AG$9="Quote",Calculator!E186,"")</f>
        <v/>
      </c>
      <c r="AH111">
        <v>105</v>
      </c>
      <c r="AI111" t="s">
        <v>2751</v>
      </c>
      <c r="AJ111" s="415" t="str">
        <f t="shared" ca="1" si="23"/>
        <v/>
      </c>
    </row>
    <row r="112" spans="1:36" x14ac:dyDescent="0.25">
      <c r="A112" s="489">
        <v>47090</v>
      </c>
      <c r="B112" s="231" t="s">
        <v>3411</v>
      </c>
      <c r="C112" s="470"/>
      <c r="O112" s="326"/>
      <c r="R112" s="326"/>
      <c r="AE112" s="287" t="s">
        <v>2513</v>
      </c>
      <c r="AF112" s="215" t="s">
        <v>3029</v>
      </c>
      <c r="AG112" s="224" t="str">
        <f ca="1">IF($AG$9="Quote",Calculator!E187,"")</f>
        <v/>
      </c>
      <c r="AH112">
        <v>106</v>
      </c>
      <c r="AI112" t="s">
        <v>2752</v>
      </c>
      <c r="AJ112" s="415" t="str">
        <f t="shared" ca="1" si="23"/>
        <v/>
      </c>
    </row>
    <row r="113" spans="1:36" x14ac:dyDescent="0.25">
      <c r="A113" s="489">
        <v>47120</v>
      </c>
      <c r="B113" s="231" t="s">
        <v>3412</v>
      </c>
      <c r="C113" s="470"/>
      <c r="O113" s="185"/>
      <c r="P113" s="5" t="s">
        <v>1348</v>
      </c>
      <c r="AE113" s="217" t="s">
        <v>2514</v>
      </c>
      <c r="AF113" s="215" t="s">
        <v>3028</v>
      </c>
      <c r="AG113" s="224" t="str">
        <f ca="1">IF($AG$9="Quote",Calculator!E188,"")</f>
        <v/>
      </c>
      <c r="AH113">
        <v>107</v>
      </c>
      <c r="AI113" t="s">
        <v>2753</v>
      </c>
      <c r="AJ113" s="415" t="str">
        <f t="shared" ca="1" si="23"/>
        <v/>
      </c>
    </row>
    <row r="114" spans="1:36" x14ac:dyDescent="0.25">
      <c r="A114" s="489">
        <v>47150</v>
      </c>
      <c r="B114" s="231" t="s">
        <v>3413</v>
      </c>
      <c r="C114" s="470"/>
      <c r="O114" s="185"/>
      <c r="P114" t="s">
        <v>6</v>
      </c>
      <c r="Q114" t="s">
        <v>1096</v>
      </c>
      <c r="AE114" s="217" t="s">
        <v>2515</v>
      </c>
      <c r="AF114" s="215" t="s">
        <v>3047</v>
      </c>
      <c r="AG114" s="224" t="str">
        <f ca="1">IF($AG$9="Quote",Calculator!E189,"")</f>
        <v/>
      </c>
      <c r="AH114">
        <v>108</v>
      </c>
      <c r="AI114" t="s">
        <v>3625</v>
      </c>
      <c r="AJ114" s="415" t="str">
        <f t="shared" ca="1" si="23"/>
        <v/>
      </c>
    </row>
    <row r="115" spans="1:36" x14ac:dyDescent="0.25">
      <c r="A115" s="489">
        <v>47180</v>
      </c>
      <c r="B115" s="231" t="s">
        <v>3408</v>
      </c>
      <c r="C115" s="470"/>
      <c r="O115" s="185"/>
      <c r="P115" t="s">
        <v>7</v>
      </c>
      <c r="Q115" t="s">
        <v>1097</v>
      </c>
      <c r="AE115" s="217" t="s">
        <v>3652</v>
      </c>
      <c r="AF115" t="s">
        <v>3652</v>
      </c>
      <c r="AG115" s="224" t="str">
        <f ca="1">IF($AG$9="Quote","N/A","")</f>
        <v/>
      </c>
      <c r="AH115">
        <v>109</v>
      </c>
      <c r="AI115" t="s">
        <v>2856</v>
      </c>
      <c r="AJ115" s="415" t="str">
        <f t="shared" ca="1" si="23"/>
        <v/>
      </c>
    </row>
    <row r="116" spans="1:36" x14ac:dyDescent="0.25">
      <c r="A116" s="411" t="s">
        <v>3539</v>
      </c>
      <c r="B116" s="231" t="s">
        <v>1271</v>
      </c>
      <c r="C116" s="470"/>
      <c r="O116" s="185"/>
      <c r="P116" t="s">
        <v>8</v>
      </c>
      <c r="Q116" t="s">
        <v>1098</v>
      </c>
      <c r="AE116" s="217" t="s">
        <v>3663</v>
      </c>
      <c r="AF116" s="215" t="s">
        <v>3663</v>
      </c>
      <c r="AG116" s="224" t="b">
        <f ca="1">IF($AG$9="Quote",IF(AG45&gt;0,"Included","-"))</f>
        <v>0</v>
      </c>
      <c r="AH116">
        <v>110</v>
      </c>
      <c r="AI116" t="s">
        <v>2754</v>
      </c>
      <c r="AJ116" s="415" t="str">
        <f t="shared" ca="1" si="23"/>
        <v/>
      </c>
    </row>
    <row r="117" spans="1:36" x14ac:dyDescent="0.25">
      <c r="A117" s="411" t="s">
        <v>3540</v>
      </c>
      <c r="B117" s="231" t="s">
        <v>1218</v>
      </c>
      <c r="C117" s="470"/>
      <c r="O117" s="185"/>
      <c r="AE117" s="217"/>
      <c r="AF117" s="215"/>
      <c r="AG117" s="224"/>
      <c r="AH117">
        <v>111</v>
      </c>
      <c r="AI117" t="s">
        <v>2755</v>
      </c>
      <c r="AJ117" s="415" t="str">
        <f t="shared" ca="1" si="23"/>
        <v/>
      </c>
    </row>
    <row r="118" spans="1:36" x14ac:dyDescent="0.25">
      <c r="A118" s="411" t="s">
        <v>3541</v>
      </c>
      <c r="B118" s="231" t="s">
        <v>3414</v>
      </c>
      <c r="C118" s="470"/>
      <c r="O118" s="493" t="s">
        <v>1055</v>
      </c>
      <c r="AE118" s="217"/>
      <c r="AF118" s="215"/>
      <c r="AG118" s="224"/>
      <c r="AH118">
        <v>112</v>
      </c>
      <c r="AI118" t="s">
        <v>2756</v>
      </c>
      <c r="AJ118" s="415" t="str">
        <f t="shared" ca="1" si="23"/>
        <v/>
      </c>
    </row>
    <row r="119" spans="1:36" x14ac:dyDescent="0.25">
      <c r="A119" s="411" t="s">
        <v>3542</v>
      </c>
      <c r="B119" s="231" t="s">
        <v>3415</v>
      </c>
      <c r="C119" s="470"/>
      <c r="O119" s="5" t="s">
        <v>1056</v>
      </c>
      <c r="Q119" s="242" t="s">
        <v>1057</v>
      </c>
      <c r="R119" s="243"/>
      <c r="S119" s="244"/>
      <c r="T119" s="243"/>
      <c r="U119" s="244" t="s">
        <v>1060</v>
      </c>
      <c r="AE119" s="217"/>
      <c r="AF119" s="215"/>
      <c r="AG119" s="224"/>
      <c r="AH119">
        <v>113</v>
      </c>
      <c r="AI119" t="s">
        <v>3626</v>
      </c>
      <c r="AJ119" s="415" t="str">
        <f t="shared" ca="1" si="23"/>
        <v/>
      </c>
    </row>
    <row r="120" spans="1:36" x14ac:dyDescent="0.25">
      <c r="A120" s="489">
        <v>1000190</v>
      </c>
      <c r="B120" s="231" t="s">
        <v>3416</v>
      </c>
      <c r="C120" s="470"/>
      <c r="O120" t="s">
        <v>1061</v>
      </c>
      <c r="Q120" s="245">
        <f>VALUE(C90)</f>
        <v>0</v>
      </c>
      <c r="R120" s="185"/>
      <c r="T120" s="185"/>
      <c r="U120" s="245">
        <f>IF(Q120&gt;25000,25000,Q120)</f>
        <v>0</v>
      </c>
      <c r="AE120" s="217"/>
      <c r="AF120" s="215"/>
      <c r="AG120" s="224"/>
      <c r="AH120">
        <v>114</v>
      </c>
      <c r="AI120" t="s">
        <v>3627</v>
      </c>
      <c r="AJ120" s="415" t="str">
        <f t="shared" ca="1" si="23"/>
        <v/>
      </c>
    </row>
    <row r="121" spans="1:36" x14ac:dyDescent="0.25">
      <c r="A121" s="489" t="s">
        <v>3564</v>
      </c>
      <c r="B121" s="231" t="s">
        <v>3417</v>
      </c>
      <c r="C121" s="470"/>
      <c r="Q121" s="175"/>
      <c r="R121" s="185"/>
      <c r="S121" t="s">
        <v>1357</v>
      </c>
      <c r="T121" s="185"/>
      <c r="U121" s="246">
        <v>0</v>
      </c>
      <c r="AE121" s="217"/>
      <c r="AF121" s="215"/>
      <c r="AG121" s="224"/>
      <c r="AH121">
        <v>115</v>
      </c>
      <c r="AI121" t="s">
        <v>2759</v>
      </c>
      <c r="AJ121" s="415" t="str">
        <f t="shared" ca="1" si="23"/>
        <v/>
      </c>
    </row>
    <row r="122" spans="1:36" x14ac:dyDescent="0.25">
      <c r="A122" s="411" t="s">
        <v>3543</v>
      </c>
      <c r="B122" s="231" t="s">
        <v>2653</v>
      </c>
      <c r="C122" s="466"/>
      <c r="R122" s="185"/>
      <c r="T122" s="185"/>
      <c r="U122" s="248"/>
      <c r="AE122" s="217"/>
      <c r="AF122" s="215"/>
      <c r="AG122" s="224"/>
      <c r="AH122">
        <v>116</v>
      </c>
      <c r="AI122" t="s">
        <v>2760</v>
      </c>
      <c r="AJ122" s="415" t="str">
        <f t="shared" ca="1" si="23"/>
        <v/>
      </c>
    </row>
    <row r="123" spans="1:36" x14ac:dyDescent="0.25">
      <c r="A123" s="411" t="s">
        <v>3568</v>
      </c>
      <c r="B123" s="231" t="s">
        <v>2585</v>
      </c>
      <c r="C123"/>
      <c r="O123" s="493" t="s">
        <v>1065</v>
      </c>
      <c r="R123" s="185"/>
      <c r="T123" s="185"/>
      <c r="AE123" s="217"/>
      <c r="AF123" s="215"/>
      <c r="AG123" s="230"/>
      <c r="AH123">
        <v>117</v>
      </c>
      <c r="AI123" t="s">
        <v>2761</v>
      </c>
      <c r="AJ123" s="415" t="str">
        <f t="shared" ca="1" si="23"/>
        <v/>
      </c>
    </row>
    <row r="124" spans="1:36" x14ac:dyDescent="0.25">
      <c r="A124" s="411" t="s">
        <v>3545</v>
      </c>
      <c r="B124" s="231" t="s">
        <v>3405</v>
      </c>
      <c r="C124" s="462"/>
      <c r="O124" s="5" t="s">
        <v>1056</v>
      </c>
      <c r="Q124" s="242" t="s">
        <v>1057</v>
      </c>
      <c r="R124" s="243"/>
      <c r="S124" s="244"/>
      <c r="T124" s="243"/>
      <c r="U124" s="244" t="s">
        <v>1060</v>
      </c>
      <c r="AE124" s="217"/>
      <c r="AF124" s="215"/>
      <c r="AG124" s="224"/>
      <c r="AH124">
        <v>118</v>
      </c>
      <c r="AI124" t="s">
        <v>3054</v>
      </c>
      <c r="AJ124" s="415" t="str">
        <f t="shared" ca="1" si="23"/>
        <v/>
      </c>
    </row>
    <row r="125" spans="1:36" x14ac:dyDescent="0.25">
      <c r="A125" s="411" t="s">
        <v>3544</v>
      </c>
      <c r="B125" s="231" t="s">
        <v>2586</v>
      </c>
      <c r="C125" s="462"/>
      <c r="O125" t="s">
        <v>1066</v>
      </c>
      <c r="Q125" s="245">
        <f>C91</f>
        <v>0</v>
      </c>
      <c r="R125" s="185"/>
      <c r="T125" s="185"/>
      <c r="U125" s="245">
        <f>IF(Q125&gt;250000,250000,Q125)</f>
        <v>0</v>
      </c>
      <c r="AE125" s="217"/>
      <c r="AF125" s="215"/>
      <c r="AG125" s="224"/>
      <c r="AH125">
        <v>119</v>
      </c>
      <c r="AI125" t="s">
        <v>2762</v>
      </c>
      <c r="AJ125" s="415" t="str">
        <f t="shared" ca="1" si="23"/>
        <v/>
      </c>
    </row>
    <row r="126" spans="1:36" x14ac:dyDescent="0.25">
      <c r="A126" s="411" t="s">
        <v>3547</v>
      </c>
      <c r="B126" s="231" t="s">
        <v>1339</v>
      </c>
      <c r="C126" s="471"/>
      <c r="O126" s="175"/>
      <c r="P126" s="175"/>
      <c r="Q126" s="250"/>
      <c r="R126" s="185"/>
      <c r="T126" s="185"/>
      <c r="U126" s="248"/>
      <c r="AE126" s="217"/>
      <c r="AF126" s="215"/>
      <c r="AG126" s="224"/>
      <c r="AH126">
        <v>120</v>
      </c>
      <c r="AI126" t="s">
        <v>3628</v>
      </c>
      <c r="AJ126" s="415" t="str">
        <f t="shared" ca="1" si="23"/>
        <v/>
      </c>
    </row>
    <row r="127" spans="1:36" x14ac:dyDescent="0.25">
      <c r="A127" s="411" t="s">
        <v>3546</v>
      </c>
      <c r="B127" s="231" t="s">
        <v>1340</v>
      </c>
      <c r="C127" s="462"/>
      <c r="Q127" s="250"/>
      <c r="R127" s="185"/>
      <c r="T127" s="185"/>
      <c r="U127" s="248"/>
      <c r="AE127" s="217"/>
      <c r="AF127" s="215"/>
      <c r="AG127" s="224"/>
      <c r="AH127">
        <v>121</v>
      </c>
      <c r="AI127" t="s">
        <v>3629</v>
      </c>
      <c r="AJ127" s="415" t="str">
        <f t="shared" ca="1" si="23"/>
        <v/>
      </c>
    </row>
    <row r="128" spans="1:36" x14ac:dyDescent="0.25">
      <c r="A128" s="411" t="s">
        <v>3550</v>
      </c>
      <c r="B128" s="239" t="s">
        <v>1355</v>
      </c>
      <c r="C128" s="460"/>
      <c r="O128" s="493" t="s">
        <v>1068</v>
      </c>
      <c r="R128" s="298"/>
      <c r="T128" s="298"/>
      <c r="AE128" s="217"/>
      <c r="AF128" s="215"/>
      <c r="AG128" s="224"/>
      <c r="AH128">
        <v>122</v>
      </c>
      <c r="AI128" t="s">
        <v>2764</v>
      </c>
      <c r="AJ128" s="415" t="str">
        <f t="shared" ca="1" si="23"/>
        <v/>
      </c>
    </row>
    <row r="129" spans="1:36" x14ac:dyDescent="0.25">
      <c r="A129" s="411" t="s">
        <v>3551</v>
      </c>
      <c r="B129" s="405" t="s">
        <v>2540</v>
      </c>
      <c r="C129" s="462"/>
      <c r="O129" s="5" t="s">
        <v>1056</v>
      </c>
      <c r="Q129" s="242" t="s">
        <v>1057</v>
      </c>
      <c r="R129" s="243"/>
      <c r="S129" s="244"/>
      <c r="T129" s="243"/>
      <c r="U129" s="244" t="s">
        <v>1060</v>
      </c>
      <c r="AE129" s="217"/>
      <c r="AF129" s="215"/>
      <c r="AG129" s="224"/>
      <c r="AH129">
        <v>123</v>
      </c>
      <c r="AI129" t="s">
        <v>3447</v>
      </c>
      <c r="AJ129" s="415" t="str">
        <f t="shared" ca="1" si="23"/>
        <v/>
      </c>
    </row>
    <row r="130" spans="1:36" x14ac:dyDescent="0.25">
      <c r="A130" s="411" t="s">
        <v>3552</v>
      </c>
      <c r="B130" s="282" t="s">
        <v>2646</v>
      </c>
      <c r="C130" s="472"/>
      <c r="O130" t="s">
        <v>1031</v>
      </c>
      <c r="Q130" s="251">
        <f>C96</f>
        <v>0</v>
      </c>
      <c r="R130" s="298"/>
      <c r="T130" s="298"/>
      <c r="U130" s="419">
        <f>IFERROR(Q130*1,0)</f>
        <v>0</v>
      </c>
      <c r="AE130" s="217"/>
      <c r="AF130" s="215"/>
      <c r="AG130" s="224"/>
      <c r="AH130">
        <v>124</v>
      </c>
      <c r="AI130" t="s">
        <v>2766</v>
      </c>
      <c r="AJ130" s="415" t="str">
        <f t="shared" ca="1" si="23"/>
        <v/>
      </c>
    </row>
    <row r="131" spans="1:36" x14ac:dyDescent="0.25">
      <c r="A131" s="411" t="s">
        <v>3555</v>
      </c>
      <c r="B131" s="282" t="s">
        <v>1406</v>
      </c>
      <c r="C131"/>
      <c r="Q131" s="250"/>
      <c r="R131" s="298"/>
      <c r="T131" s="298"/>
      <c r="U131" s="248"/>
      <c r="AE131" s="217"/>
      <c r="AF131" s="215"/>
      <c r="AG131" s="224"/>
      <c r="AH131">
        <v>125</v>
      </c>
      <c r="AI131" t="s">
        <v>2857</v>
      </c>
      <c r="AJ131" s="415" t="str">
        <f t="shared" ca="1" si="23"/>
        <v/>
      </c>
    </row>
    <row r="132" spans="1:36" x14ac:dyDescent="0.25">
      <c r="A132" s="411" t="s">
        <v>3556</v>
      </c>
      <c r="B132" s="282" t="s">
        <v>2574</v>
      </c>
      <c r="C132" s="472"/>
      <c r="R132" s="298"/>
      <c r="T132" s="298"/>
      <c r="AE132" s="217"/>
      <c r="AF132" s="215"/>
      <c r="AG132" s="224"/>
      <c r="AH132">
        <v>126</v>
      </c>
      <c r="AI132" t="s">
        <v>1236</v>
      </c>
      <c r="AJ132" s="415" t="str">
        <f t="shared" ca="1" si="23"/>
        <v/>
      </c>
    </row>
    <row r="133" spans="1:36" x14ac:dyDescent="0.25">
      <c r="A133" s="411" t="s">
        <v>3597</v>
      </c>
      <c r="B133" s="282" t="s">
        <v>3596</v>
      </c>
      <c r="C133" s="472"/>
      <c r="O133" s="493" t="s">
        <v>2458</v>
      </c>
      <c r="R133" s="301"/>
      <c r="T133" s="301"/>
      <c r="AE133" s="217"/>
      <c r="AF133" s="215"/>
      <c r="AG133" s="253"/>
      <c r="AH133">
        <v>127</v>
      </c>
      <c r="AI133" t="s">
        <v>1240</v>
      </c>
      <c r="AJ133" s="415" t="str">
        <f t="shared" ca="1" si="23"/>
        <v/>
      </c>
    </row>
    <row r="134" spans="1:36" x14ac:dyDescent="0.25">
      <c r="A134" s="411" t="s">
        <v>3562</v>
      </c>
      <c r="B134" s="282" t="s">
        <v>2575</v>
      </c>
      <c r="C134"/>
      <c r="O134" s="5" t="s">
        <v>1056</v>
      </c>
      <c r="Q134" s="242" t="s">
        <v>1057</v>
      </c>
      <c r="R134" s="243"/>
      <c r="S134" s="244"/>
      <c r="T134" s="243"/>
      <c r="U134" s="244" t="s">
        <v>1060</v>
      </c>
      <c r="AE134" s="233"/>
      <c r="AF134" s="424"/>
      <c r="AG134" s="240"/>
      <c r="AH134">
        <v>128</v>
      </c>
      <c r="AI134" t="s">
        <v>2859</v>
      </c>
      <c r="AJ134" s="415" t="str">
        <f t="shared" ca="1" si="23"/>
        <v/>
      </c>
    </row>
    <row r="135" spans="1:36" x14ac:dyDescent="0.25">
      <c r="A135" s="411" t="s">
        <v>3561</v>
      </c>
      <c r="B135" s="282" t="s">
        <v>3406</v>
      </c>
      <c r="C135" s="472"/>
      <c r="O135" t="s">
        <v>3425</v>
      </c>
      <c r="Q135" s="251">
        <f>C88</f>
        <v>0</v>
      </c>
      <c r="R135" s="301"/>
      <c r="T135" s="301"/>
      <c r="U135" s="305">
        <f>SUM(Q135:Q136)</f>
        <v>0</v>
      </c>
      <c r="AE135" s="217"/>
      <c r="AF135" s="215"/>
      <c r="AG135" s="230"/>
      <c r="AH135">
        <v>129</v>
      </c>
      <c r="AI135" t="s">
        <v>2849</v>
      </c>
      <c r="AJ135" s="415" t="str">
        <f t="shared" ca="1" si="23"/>
        <v/>
      </c>
    </row>
    <row r="136" spans="1:36" x14ac:dyDescent="0.25">
      <c r="A136" s="411" t="s">
        <v>3557</v>
      </c>
      <c r="B136" s="282" t="s">
        <v>2584</v>
      </c>
      <c r="C136" s="472"/>
      <c r="O136" t="s">
        <v>3426</v>
      </c>
      <c r="Q136" s="245">
        <f>$C$89</f>
        <v>0</v>
      </c>
      <c r="R136" s="301"/>
      <c r="T136" s="301"/>
      <c r="AE136" s="217"/>
      <c r="AF136" s="215"/>
      <c r="AG136" s="229"/>
      <c r="AH136">
        <v>130</v>
      </c>
      <c r="AI136" t="s">
        <v>2854</v>
      </c>
      <c r="AJ136" s="415" t="str">
        <f t="shared" ca="1" si="23"/>
        <v/>
      </c>
    </row>
    <row r="137" spans="1:36" x14ac:dyDescent="0.25">
      <c r="A137" s="411" t="s">
        <v>3558</v>
      </c>
      <c r="B137" s="282" t="s">
        <v>2913</v>
      </c>
      <c r="C137" s="472"/>
      <c r="R137" s="301"/>
      <c r="T137" s="301"/>
      <c r="AE137" s="217"/>
      <c r="AF137" s="215"/>
      <c r="AG137" s="253"/>
      <c r="AH137">
        <v>131</v>
      </c>
      <c r="AI137" t="s">
        <v>2635</v>
      </c>
      <c r="AJ137" s="415" t="str">
        <f t="shared" ca="1" si="23"/>
        <v/>
      </c>
    </row>
    <row r="138" spans="1:36" x14ac:dyDescent="0.25">
      <c r="A138" s="411" t="s">
        <v>3560</v>
      </c>
      <c r="B138" s="282" t="s">
        <v>1408</v>
      </c>
      <c r="C138" s="472"/>
      <c r="O138" s="493" t="s">
        <v>3611</v>
      </c>
      <c r="R138" s="301"/>
      <c r="T138" s="301"/>
      <c r="AE138" s="217"/>
      <c r="AF138" s="215"/>
      <c r="AG138" s="253"/>
      <c r="AH138">
        <v>132</v>
      </c>
      <c r="AI138" t="s">
        <v>209</v>
      </c>
      <c r="AJ138" s="415" t="str">
        <f t="shared" ca="1" si="23"/>
        <v/>
      </c>
    </row>
    <row r="139" spans="1:36" x14ac:dyDescent="0.25">
      <c r="A139" s="411" t="s">
        <v>3553</v>
      </c>
      <c r="B139" s="282" t="s">
        <v>1409</v>
      </c>
      <c r="C139"/>
      <c r="O139" s="5" t="s">
        <v>1056</v>
      </c>
      <c r="Q139" s="242" t="s">
        <v>1057</v>
      </c>
      <c r="R139" s="243"/>
      <c r="S139" s="244"/>
      <c r="T139" s="243"/>
      <c r="U139" s="244" t="s">
        <v>1060</v>
      </c>
      <c r="AE139" s="217"/>
      <c r="AF139" s="215"/>
      <c r="AG139" s="253"/>
      <c r="AH139">
        <v>133</v>
      </c>
      <c r="AI139" t="s">
        <v>2767</v>
      </c>
      <c r="AJ139" s="415" t="str">
        <f t="shared" ca="1" si="23"/>
        <v/>
      </c>
    </row>
    <row r="140" spans="1:36" x14ac:dyDescent="0.25">
      <c r="A140" s="411" t="s">
        <v>3554</v>
      </c>
      <c r="B140" s="282" t="s">
        <v>1410</v>
      </c>
      <c r="C140" s="472"/>
      <c r="O140" t="s">
        <v>2893</v>
      </c>
      <c r="Q140" s="251">
        <f>SUM(C92,C94,C95)</f>
        <v>0</v>
      </c>
      <c r="R140" s="301"/>
      <c r="T140" s="301"/>
      <c r="U140" s="305">
        <f>Q140</f>
        <v>0</v>
      </c>
      <c r="AE140" s="217"/>
      <c r="AF140" s="215"/>
      <c r="AG140" s="253"/>
      <c r="AH140">
        <v>134</v>
      </c>
      <c r="AI140" t="s">
        <v>2768</v>
      </c>
      <c r="AJ140" s="415" t="str">
        <f t="shared" ca="1" si="23"/>
        <v/>
      </c>
    </row>
    <row r="141" spans="1:36" x14ac:dyDescent="0.25">
      <c r="A141" s="411" t="s">
        <v>3559</v>
      </c>
      <c r="B141" s="282" t="s">
        <v>2596</v>
      </c>
      <c r="C141" s="472"/>
      <c r="R141" s="301"/>
      <c r="T141" s="301"/>
      <c r="AE141" s="217"/>
      <c r="AF141" s="215"/>
      <c r="AG141" s="253"/>
      <c r="AH141">
        <v>135</v>
      </c>
      <c r="AI141" t="s">
        <v>2769</v>
      </c>
      <c r="AJ141" s="415" t="str">
        <f t="shared" ref="AJ141:AJ204" ca="1" si="24">IFERROR(IF($AJ$7&lt;&gt;"Quote","",IF(VLOOKUP(AI141,$AF$7:$AG$248,2,FALSE)=0,"-",VLOOKUP(AI141,$AF$7:$AG$248,2,FALSE))),"-")</f>
        <v/>
      </c>
    </row>
    <row r="142" spans="1:36" x14ac:dyDescent="0.25">
      <c r="A142" s="411" t="s">
        <v>3549</v>
      </c>
      <c r="B142" s="282" t="s">
        <v>1412</v>
      </c>
      <c r="C142" s="472"/>
      <c r="R142" s="301"/>
      <c r="T142" s="301"/>
      <c r="AE142" s="217"/>
      <c r="AF142" s="215"/>
      <c r="AG142" s="253"/>
      <c r="AH142">
        <v>136</v>
      </c>
      <c r="AI142" t="s">
        <v>2770</v>
      </c>
      <c r="AJ142" s="415" t="str">
        <f t="shared" ca="1" si="24"/>
        <v/>
      </c>
    </row>
    <row r="143" spans="1:36" x14ac:dyDescent="0.25">
      <c r="A143" s="411" t="s">
        <v>3548</v>
      </c>
      <c r="B143" s="282" t="s">
        <v>3607</v>
      </c>
      <c r="C143" s="472"/>
      <c r="O143" s="493" t="s">
        <v>2460</v>
      </c>
      <c r="R143" s="185"/>
      <c r="T143" s="185"/>
      <c r="AE143" s="217"/>
      <c r="AF143" s="215"/>
      <c r="AG143" s="253"/>
      <c r="AH143">
        <v>137</v>
      </c>
      <c r="AI143" t="s">
        <v>2864</v>
      </c>
      <c r="AJ143" s="415" t="str">
        <f t="shared" ca="1" si="24"/>
        <v/>
      </c>
    </row>
    <row r="144" spans="1:36" x14ac:dyDescent="0.25">
      <c r="A144" s="489">
        <v>1000300</v>
      </c>
      <c r="B144" s="175" t="s">
        <v>2516</v>
      </c>
      <c r="C144" s="458"/>
      <c r="O144" s="5" t="s">
        <v>1056</v>
      </c>
      <c r="Q144" s="242" t="s">
        <v>1057</v>
      </c>
      <c r="R144" s="243" t="s">
        <v>1058</v>
      </c>
      <c r="S144" s="244"/>
      <c r="T144" s="243" t="s">
        <v>1059</v>
      </c>
      <c r="U144" s="244" t="s">
        <v>1060</v>
      </c>
      <c r="AE144" s="217"/>
      <c r="AF144" s="215"/>
      <c r="AG144" s="253"/>
      <c r="AH144">
        <v>138</v>
      </c>
      <c r="AI144" t="s">
        <v>2771</v>
      </c>
      <c r="AJ144" s="415" t="str">
        <f t="shared" ca="1" si="24"/>
        <v/>
      </c>
    </row>
    <row r="145" spans="1:36" x14ac:dyDescent="0.25">
      <c r="A145" s="489" t="s">
        <v>3588</v>
      </c>
      <c r="B145" s="175" t="s">
        <v>3589</v>
      </c>
      <c r="C145" s="484"/>
      <c r="O145" t="s">
        <v>3427</v>
      </c>
      <c r="Q145" s="252">
        <f>C98</f>
        <v>0</v>
      </c>
      <c r="R145" s="185" t="s">
        <v>2891</v>
      </c>
      <c r="T145" s="185">
        <v>30000</v>
      </c>
      <c r="U145" s="246">
        <f>VLOOKUP($Q$146,$R$145:$T$148,3,FALSE)</f>
        <v>10000</v>
      </c>
      <c r="AE145" s="217"/>
      <c r="AF145" s="215"/>
      <c r="AG145" s="253"/>
      <c r="AH145">
        <v>139</v>
      </c>
      <c r="AI145" t="s">
        <v>2772</v>
      </c>
      <c r="AJ145" s="415" t="str">
        <f t="shared" ca="1" si="24"/>
        <v/>
      </c>
    </row>
    <row r="146" spans="1:36" x14ac:dyDescent="0.25">
      <c r="A146" s="489">
        <v>14350</v>
      </c>
      <c r="B146" s="175" t="s">
        <v>2971</v>
      </c>
      <c r="C146" s="472"/>
      <c r="O146" t="s">
        <v>1063</v>
      </c>
      <c r="Q146" s="249" t="str">
        <f>IFERROR(VLOOKUP(Q145,R145:R148,1,FALSE),"Essential")</f>
        <v>Essential</v>
      </c>
      <c r="R146" s="185" t="s">
        <v>2890</v>
      </c>
      <c r="T146" s="185">
        <v>15000</v>
      </c>
      <c r="U146" s="248"/>
      <c r="AE146" s="237"/>
      <c r="AF146" s="225"/>
      <c r="AG146" s="227"/>
      <c r="AH146">
        <v>140</v>
      </c>
      <c r="AI146" t="s">
        <v>2773</v>
      </c>
      <c r="AJ146" s="415" t="str">
        <f t="shared" ca="1" si="24"/>
        <v/>
      </c>
    </row>
    <row r="147" spans="1:36" x14ac:dyDescent="0.25">
      <c r="A147" s="489">
        <v>12705</v>
      </c>
      <c r="B147" t="s">
        <v>2970</v>
      </c>
      <c r="C147" s="472"/>
      <c r="R147" s="185" t="s">
        <v>2889</v>
      </c>
      <c r="T147" s="185">
        <v>10000</v>
      </c>
      <c r="AE147" s="237"/>
      <c r="AF147" s="225"/>
      <c r="AG147" s="227"/>
      <c r="AH147">
        <v>141</v>
      </c>
      <c r="AI147" t="s">
        <v>2855</v>
      </c>
      <c r="AJ147" s="415" t="str">
        <f t="shared" ca="1" si="24"/>
        <v/>
      </c>
    </row>
    <row r="148" spans="1:36" x14ac:dyDescent="0.25">
      <c r="A148" s="489">
        <v>14395</v>
      </c>
      <c r="B148" t="s">
        <v>2969</v>
      </c>
      <c r="C148" s="472"/>
      <c r="R148" s="185"/>
      <c r="T148" s="185"/>
      <c r="AE148" s="237"/>
      <c r="AF148" s="225"/>
      <c r="AG148" s="227"/>
      <c r="AH148">
        <v>142</v>
      </c>
      <c r="AI148" t="s">
        <v>2774</v>
      </c>
      <c r="AJ148" s="415" t="str">
        <f t="shared" ca="1" si="24"/>
        <v/>
      </c>
    </row>
    <row r="149" spans="1:36" x14ac:dyDescent="0.25">
      <c r="A149" s="489">
        <v>12800</v>
      </c>
      <c r="B149" t="s">
        <v>2968</v>
      </c>
      <c r="C149" s="472"/>
      <c r="R149" s="185"/>
      <c r="T149" s="185"/>
      <c r="AE149" s="237"/>
      <c r="AF149" s="225"/>
      <c r="AG149" s="227"/>
      <c r="AH149">
        <v>143</v>
      </c>
      <c r="AI149" t="s">
        <v>2775</v>
      </c>
      <c r="AJ149" s="415" t="str">
        <f t="shared" ca="1" si="24"/>
        <v/>
      </c>
    </row>
    <row r="150" spans="1:36" x14ac:dyDescent="0.25">
      <c r="A150" s="489">
        <v>13800</v>
      </c>
      <c r="B150" t="s">
        <v>2967</v>
      </c>
      <c r="C150" s="472"/>
      <c r="O150" s="493" t="s">
        <v>2461</v>
      </c>
      <c r="R150" s="317"/>
      <c r="T150" s="317"/>
      <c r="AE150" s="237"/>
      <c r="AF150" s="225"/>
      <c r="AG150" s="227"/>
      <c r="AH150">
        <v>144</v>
      </c>
      <c r="AI150" t="s">
        <v>2776</v>
      </c>
      <c r="AJ150" s="415" t="str">
        <f t="shared" ca="1" si="24"/>
        <v/>
      </c>
    </row>
    <row r="151" spans="1:36" x14ac:dyDescent="0.25">
      <c r="A151" s="489">
        <v>13910</v>
      </c>
      <c r="B151" t="s">
        <v>2966</v>
      </c>
      <c r="C151" s="472"/>
      <c r="O151" s="5" t="s">
        <v>1056</v>
      </c>
      <c r="Q151" s="242" t="s">
        <v>1057</v>
      </c>
      <c r="R151" s="243" t="s">
        <v>1058</v>
      </c>
      <c r="S151" s="244"/>
      <c r="T151" s="243" t="s">
        <v>1059</v>
      </c>
      <c r="U151" s="244" t="s">
        <v>1060</v>
      </c>
      <c r="AE151" s="237"/>
      <c r="AF151" s="225"/>
      <c r="AG151" s="227"/>
      <c r="AH151">
        <v>145</v>
      </c>
      <c r="AI151" t="s">
        <v>1155</v>
      </c>
      <c r="AJ151" s="415" t="str">
        <f t="shared" ca="1" si="24"/>
        <v/>
      </c>
    </row>
    <row r="152" spans="1:36" x14ac:dyDescent="0.25">
      <c r="A152" s="489">
        <v>10003</v>
      </c>
      <c r="B152" t="s">
        <v>2965</v>
      </c>
      <c r="C152" s="472"/>
      <c r="O152" t="s">
        <v>3429</v>
      </c>
      <c r="Q152" s="149">
        <f>$C$118</f>
        <v>0</v>
      </c>
      <c r="R152" s="446" t="s">
        <v>3430</v>
      </c>
      <c r="T152" s="415">
        <f>IF(Q152=R152,Calculator!C40,0)</f>
        <v>0</v>
      </c>
      <c r="U152" s="448">
        <f>SUM(T152:T154)</f>
        <v>0</v>
      </c>
      <c r="AE152" s="237"/>
      <c r="AF152" s="225"/>
      <c r="AG152" s="227"/>
      <c r="AH152">
        <v>146</v>
      </c>
      <c r="AI152" t="s">
        <v>2777</v>
      </c>
      <c r="AJ152" s="415" t="str">
        <f t="shared" ca="1" si="24"/>
        <v/>
      </c>
    </row>
    <row r="153" spans="1:36" x14ac:dyDescent="0.25">
      <c r="A153" s="489">
        <v>14400</v>
      </c>
      <c r="B153" t="s">
        <v>2963</v>
      </c>
      <c r="C153" s="472"/>
      <c r="O153" t="s">
        <v>3431</v>
      </c>
      <c r="Q153" s="449">
        <f>C119</f>
        <v>0</v>
      </c>
      <c r="R153" s="446" t="s">
        <v>3428</v>
      </c>
      <c r="T153" s="415">
        <f>Q159</f>
        <v>0</v>
      </c>
      <c r="U153" s="446"/>
      <c r="AE153" s="237"/>
      <c r="AF153" s="225"/>
      <c r="AG153" s="227"/>
      <c r="AH153">
        <v>147</v>
      </c>
      <c r="AI153" t="s">
        <v>2778</v>
      </c>
      <c r="AJ153" s="415" t="str">
        <f t="shared" ca="1" si="24"/>
        <v/>
      </c>
    </row>
    <row r="154" spans="1:36" x14ac:dyDescent="0.25">
      <c r="A154" s="489">
        <v>14410</v>
      </c>
      <c r="B154" t="s">
        <v>2964</v>
      </c>
      <c r="C154" s="472"/>
      <c r="R154" s="446">
        <v>0</v>
      </c>
      <c r="T154" s="446"/>
      <c r="AE154" s="237"/>
      <c r="AF154" s="225"/>
      <c r="AG154" s="227"/>
      <c r="AH154">
        <v>148</v>
      </c>
      <c r="AI154" t="s">
        <v>2779</v>
      </c>
      <c r="AJ154" s="415" t="str">
        <f t="shared" ca="1" si="24"/>
        <v/>
      </c>
    </row>
    <row r="155" spans="1:36" x14ac:dyDescent="0.25">
      <c r="A155" s="489">
        <v>13430</v>
      </c>
      <c r="B155" t="s">
        <v>2962</v>
      </c>
      <c r="C155" s="472"/>
      <c r="Q155" s="263"/>
      <c r="R155" s="446">
        <v>2500</v>
      </c>
      <c r="T155" s="446"/>
      <c r="AE155" s="237"/>
      <c r="AF155" s="225"/>
      <c r="AG155" s="227"/>
      <c r="AH155">
        <v>149</v>
      </c>
      <c r="AI155" t="s">
        <v>3025</v>
      </c>
      <c r="AJ155" s="415" t="str">
        <f t="shared" ca="1" si="24"/>
        <v/>
      </c>
    </row>
    <row r="156" spans="1:36" x14ac:dyDescent="0.25">
      <c r="O156" t="s">
        <v>3432</v>
      </c>
      <c r="Q156" s="450">
        <f>IF(Q153&gt;R158,R158,IFERROR(VLOOKUP(Q153,R154:R158,1,FALSE),"No match"))</f>
        <v>0</v>
      </c>
      <c r="R156" s="446">
        <v>5000</v>
      </c>
      <c r="T156" s="446"/>
      <c r="AE156" s="237"/>
      <c r="AF156" s="225"/>
      <c r="AG156" s="227"/>
      <c r="AH156">
        <v>150</v>
      </c>
      <c r="AI156" t="s">
        <v>3026</v>
      </c>
      <c r="AJ156" s="415" t="str">
        <f t="shared" ca="1" si="24"/>
        <v/>
      </c>
    </row>
    <row r="157" spans="1:36" x14ac:dyDescent="0.25">
      <c r="O157" t="s">
        <v>3433</v>
      </c>
      <c r="Q157" s="263">
        <f>MATCH(VLOOKUP(Q153,R154:R158,1,TRUE),R154:R158,0)</f>
        <v>1</v>
      </c>
      <c r="R157" s="446">
        <v>10000</v>
      </c>
      <c r="T157" s="446"/>
      <c r="AE157" s="237"/>
      <c r="AF157" s="225"/>
      <c r="AG157" s="227"/>
      <c r="AH157">
        <v>151</v>
      </c>
      <c r="AI157" t="s">
        <v>3027</v>
      </c>
      <c r="AJ157" s="415" t="str">
        <f t="shared" ca="1" si="24"/>
        <v/>
      </c>
    </row>
    <row r="158" spans="1:36" x14ac:dyDescent="0.25">
      <c r="O158" t="s">
        <v>3434</v>
      </c>
      <c r="Q158" s="263" cm="1">
        <f t="array" ref="Q158">INDEX(R154:R158,Q157+1)</f>
        <v>2500</v>
      </c>
      <c r="R158" s="446">
        <v>25000</v>
      </c>
      <c r="T158" s="446"/>
      <c r="AE158" s="237"/>
      <c r="AF158" s="225"/>
      <c r="AG158" s="227"/>
      <c r="AH158">
        <v>152</v>
      </c>
      <c r="AI158" t="s">
        <v>3028</v>
      </c>
      <c r="AJ158" s="415" t="str">
        <f t="shared" ca="1" si="24"/>
        <v/>
      </c>
    </row>
    <row r="159" spans="1:36" x14ac:dyDescent="0.25">
      <c r="O159" t="s">
        <v>3435</v>
      </c>
      <c r="Q159" s="263">
        <f>IF(Q156="No match",Q158,Q156)</f>
        <v>0</v>
      </c>
      <c r="R159" s="446"/>
      <c r="T159" s="446"/>
      <c r="AE159" s="237"/>
      <c r="AF159" s="225"/>
      <c r="AG159" s="227"/>
      <c r="AH159">
        <v>153</v>
      </c>
      <c r="AI159" t="s">
        <v>3029</v>
      </c>
      <c r="AJ159" s="415" t="str">
        <f t="shared" ca="1" si="24"/>
        <v/>
      </c>
    </row>
    <row r="160" spans="1:36" x14ac:dyDescent="0.25">
      <c r="R160" s="446"/>
      <c r="T160" s="446"/>
      <c r="AE160" s="237"/>
      <c r="AF160" s="225"/>
      <c r="AG160" s="227"/>
      <c r="AH160">
        <v>154</v>
      </c>
      <c r="AI160" t="s">
        <v>3030</v>
      </c>
      <c r="AJ160" s="415" t="str">
        <f t="shared" ca="1" si="24"/>
        <v/>
      </c>
    </row>
    <row r="161" spans="15:36" x14ac:dyDescent="0.25">
      <c r="R161" s="446"/>
      <c r="T161" s="446"/>
      <c r="AE161" s="237"/>
      <c r="AF161" s="225"/>
      <c r="AG161" s="227"/>
      <c r="AH161">
        <v>155</v>
      </c>
      <c r="AI161" t="s">
        <v>3031</v>
      </c>
      <c r="AJ161" s="415" t="str">
        <f t="shared" ca="1" si="24"/>
        <v/>
      </c>
    </row>
    <row r="162" spans="15:36" x14ac:dyDescent="0.25">
      <c r="O162" s="493" t="s">
        <v>2462</v>
      </c>
      <c r="R162" s="317"/>
      <c r="T162" s="317"/>
      <c r="AE162" s="237"/>
      <c r="AF162" s="225"/>
      <c r="AG162" s="227"/>
      <c r="AH162">
        <v>156</v>
      </c>
      <c r="AI162" t="s">
        <v>3032</v>
      </c>
      <c r="AJ162" s="415" t="str">
        <f t="shared" ca="1" si="24"/>
        <v/>
      </c>
    </row>
    <row r="163" spans="15:36" x14ac:dyDescent="0.25">
      <c r="O163" s="5" t="s">
        <v>1056</v>
      </c>
      <c r="Q163" s="242" t="s">
        <v>1057</v>
      </c>
      <c r="R163" s="243" t="s">
        <v>1058</v>
      </c>
      <c r="S163" s="244"/>
      <c r="T163" s="243" t="s">
        <v>1059</v>
      </c>
      <c r="U163" s="244" t="s">
        <v>1060</v>
      </c>
      <c r="AE163" s="237"/>
      <c r="AF163" s="225"/>
      <c r="AG163" s="227"/>
      <c r="AH163">
        <v>157</v>
      </c>
      <c r="AI163" t="s">
        <v>3033</v>
      </c>
      <c r="AJ163" s="415" t="str">
        <f t="shared" ca="1" si="24"/>
        <v/>
      </c>
    </row>
    <row r="164" spans="15:36" x14ac:dyDescent="0.25">
      <c r="Q164" s="252">
        <f>C98</f>
        <v>0</v>
      </c>
      <c r="R164" s="437" t="s">
        <v>2891</v>
      </c>
      <c r="T164" s="317" t="s">
        <v>1114</v>
      </c>
      <c r="U164" s="246" t="str">
        <f>VLOOKUP(Q165,R164:T167,3,FALSE)</f>
        <v>No</v>
      </c>
      <c r="AE164" s="237"/>
      <c r="AF164" s="225"/>
      <c r="AG164" s="227"/>
      <c r="AH164">
        <v>158</v>
      </c>
      <c r="AI164" t="s">
        <v>3034</v>
      </c>
      <c r="AJ164" s="415" t="str">
        <f t="shared" ca="1" si="24"/>
        <v/>
      </c>
    </row>
    <row r="165" spans="15:36" x14ac:dyDescent="0.25">
      <c r="O165" t="s">
        <v>1063</v>
      </c>
      <c r="Q165" s="249" t="str">
        <f>IFERROR(VLOOKUP(Q164,R164:R167,1,FALSE),"Essential")</f>
        <v>Essential</v>
      </c>
      <c r="R165" s="437" t="s">
        <v>2890</v>
      </c>
      <c r="T165" s="317" t="s">
        <v>1398</v>
      </c>
      <c r="U165" s="248"/>
      <c r="AE165" s="237"/>
      <c r="AF165" s="225"/>
      <c r="AG165" s="227"/>
      <c r="AH165">
        <v>159</v>
      </c>
      <c r="AI165" t="s">
        <v>3035</v>
      </c>
      <c r="AJ165" s="415" t="str">
        <f t="shared" ca="1" si="24"/>
        <v/>
      </c>
    </row>
    <row r="166" spans="15:36" x14ac:dyDescent="0.25">
      <c r="R166" s="437" t="s">
        <v>2889</v>
      </c>
      <c r="T166" s="317" t="s">
        <v>1398</v>
      </c>
      <c r="AE166" s="237"/>
      <c r="AF166" s="225"/>
      <c r="AG166" s="227"/>
      <c r="AH166">
        <v>160</v>
      </c>
      <c r="AI166" t="s">
        <v>3036</v>
      </c>
      <c r="AJ166" s="415" t="str">
        <f t="shared" ca="1" si="24"/>
        <v/>
      </c>
    </row>
    <row r="167" spans="15:36" x14ac:dyDescent="0.25">
      <c r="R167" s="185"/>
      <c r="T167" s="185"/>
      <c r="AE167" s="237"/>
      <c r="AF167" s="225"/>
      <c r="AG167" s="227"/>
      <c r="AH167">
        <v>161</v>
      </c>
      <c r="AI167" t="s">
        <v>3037</v>
      </c>
      <c r="AJ167" s="415" t="str">
        <f t="shared" ca="1" si="24"/>
        <v/>
      </c>
    </row>
    <row r="168" spans="15:36" x14ac:dyDescent="0.25">
      <c r="R168" s="185"/>
      <c r="T168" s="185"/>
      <c r="AE168" s="237"/>
      <c r="AF168" s="225"/>
      <c r="AG168" s="227"/>
      <c r="AH168">
        <v>162</v>
      </c>
      <c r="AI168" t="s">
        <v>3038</v>
      </c>
      <c r="AJ168" s="415" t="str">
        <f t="shared" ca="1" si="24"/>
        <v/>
      </c>
    </row>
    <row r="169" spans="15:36" x14ac:dyDescent="0.25">
      <c r="R169" s="185"/>
      <c r="T169" s="185"/>
      <c r="AE169" s="237"/>
      <c r="AF169" s="225"/>
      <c r="AG169" s="227"/>
      <c r="AH169">
        <v>163</v>
      </c>
      <c r="AI169" t="s">
        <v>3039</v>
      </c>
      <c r="AJ169" s="415" t="str">
        <f t="shared" ca="1" si="24"/>
        <v/>
      </c>
    </row>
    <row r="170" spans="15:36" x14ac:dyDescent="0.25">
      <c r="R170" s="185"/>
      <c r="T170" s="185"/>
      <c r="AE170" s="237"/>
      <c r="AF170" s="225"/>
      <c r="AG170" s="227"/>
      <c r="AH170">
        <v>164</v>
      </c>
      <c r="AI170" t="s">
        <v>3040</v>
      </c>
      <c r="AJ170" s="415" t="str">
        <f t="shared" ca="1" si="24"/>
        <v/>
      </c>
    </row>
    <row r="171" spans="15:36" x14ac:dyDescent="0.25">
      <c r="O171" s="493" t="s">
        <v>1069</v>
      </c>
      <c r="R171" s="185"/>
      <c r="T171" s="185"/>
      <c r="AE171" s="237"/>
      <c r="AF171" s="225"/>
      <c r="AG171" s="227"/>
      <c r="AH171">
        <v>165</v>
      </c>
      <c r="AI171" t="s">
        <v>3041</v>
      </c>
      <c r="AJ171" s="415" t="str">
        <f t="shared" ca="1" si="24"/>
        <v/>
      </c>
    </row>
    <row r="172" spans="15:36" x14ac:dyDescent="0.25">
      <c r="O172" s="5" t="s">
        <v>1056</v>
      </c>
      <c r="Q172" s="242" t="s">
        <v>1057</v>
      </c>
      <c r="R172" s="243" t="s">
        <v>1058</v>
      </c>
      <c r="S172" s="244"/>
      <c r="T172" s="243" t="s">
        <v>1059</v>
      </c>
      <c r="U172" s="244" t="s">
        <v>1060</v>
      </c>
      <c r="AE172" s="237"/>
      <c r="AF172" s="225"/>
      <c r="AG172" s="227"/>
      <c r="AH172">
        <v>166</v>
      </c>
      <c r="AI172" t="s">
        <v>3042</v>
      </c>
      <c r="AJ172" s="415" t="str">
        <f t="shared" ca="1" si="24"/>
        <v/>
      </c>
    </row>
    <row r="173" spans="15:36" x14ac:dyDescent="0.25">
      <c r="O173" t="s">
        <v>1106</v>
      </c>
      <c r="Q173" s="245">
        <f>C99</f>
        <v>0</v>
      </c>
      <c r="R173" s="185" t="s">
        <v>1062</v>
      </c>
      <c r="T173" s="185">
        <v>0</v>
      </c>
      <c r="U173" s="335">
        <f>VLOOKUP($Q$180,$R$173:$T$181,3,FALSE)</f>
        <v>0</v>
      </c>
      <c r="AE173" s="237"/>
      <c r="AF173" s="225"/>
      <c r="AG173" s="227"/>
      <c r="AH173">
        <v>167</v>
      </c>
      <c r="AI173" t="s">
        <v>3043</v>
      </c>
      <c r="AJ173" s="415" t="str">
        <f t="shared" ca="1" si="24"/>
        <v/>
      </c>
    </row>
    <row r="174" spans="15:36" x14ac:dyDescent="0.25">
      <c r="O174" t="s">
        <v>2916</v>
      </c>
      <c r="Q174" s="245">
        <f>C100</f>
        <v>0</v>
      </c>
      <c r="R174" s="185">
        <v>0</v>
      </c>
      <c r="S174" s="141"/>
      <c r="T174" s="185">
        <v>0</v>
      </c>
      <c r="AE174" s="237"/>
      <c r="AF174" s="225"/>
      <c r="AG174" s="227"/>
      <c r="AH174">
        <v>168</v>
      </c>
      <c r="AI174" t="s">
        <v>3044</v>
      </c>
      <c r="AJ174" s="415" t="str">
        <f t="shared" ca="1" si="24"/>
        <v/>
      </c>
    </row>
    <row r="175" spans="15:36" x14ac:dyDescent="0.25">
      <c r="O175" t="s">
        <v>2917</v>
      </c>
      <c r="Q175">
        <f>IF(Q173="Other",Q174,Q173)</f>
        <v>0</v>
      </c>
      <c r="R175" s="446">
        <v>1000000</v>
      </c>
      <c r="S175" s="141"/>
      <c r="T175" s="446">
        <v>1000000</v>
      </c>
      <c r="AE175" s="237"/>
      <c r="AF175" s="225"/>
      <c r="AG175" s="227"/>
      <c r="AH175">
        <v>169</v>
      </c>
      <c r="AI175" t="s">
        <v>3045</v>
      </c>
      <c r="AJ175" s="415" t="str">
        <f t="shared" ca="1" si="24"/>
        <v/>
      </c>
    </row>
    <row r="176" spans="15:36" x14ac:dyDescent="0.25">
      <c r="Q176" s="250"/>
      <c r="R176" s="446">
        <v>2000000</v>
      </c>
      <c r="S176" s="141"/>
      <c r="T176" s="446">
        <v>2000000</v>
      </c>
      <c r="AE176" s="237"/>
      <c r="AF176" s="225"/>
      <c r="AG176" s="227"/>
      <c r="AH176">
        <v>170</v>
      </c>
      <c r="AI176" t="s">
        <v>3046</v>
      </c>
      <c r="AJ176" s="415" t="str">
        <f t="shared" ca="1" si="24"/>
        <v/>
      </c>
    </row>
    <row r="177" spans="15:36" x14ac:dyDescent="0.25">
      <c r="O177" t="s">
        <v>3432</v>
      </c>
      <c r="Q177" s="450">
        <f>IF(Q175&gt;R179,R179,IFERROR(VLOOKUP(Q175,R173:R181,1,FALSE),"No match"))</f>
        <v>0</v>
      </c>
      <c r="R177" s="446">
        <v>3000000</v>
      </c>
      <c r="S177" s="141"/>
      <c r="T177" s="446">
        <v>2000000</v>
      </c>
      <c r="AE177" s="237"/>
      <c r="AF177" s="225"/>
      <c r="AG177" s="227"/>
      <c r="AH177">
        <v>171</v>
      </c>
      <c r="AI177" t="s">
        <v>2508</v>
      </c>
      <c r="AJ177" s="415" t="str">
        <f t="shared" ca="1" si="24"/>
        <v/>
      </c>
    </row>
    <row r="178" spans="15:36" x14ac:dyDescent="0.25">
      <c r="O178" t="s">
        <v>3433</v>
      </c>
      <c r="Q178" s="263">
        <f>MATCH(VLOOKUP(Q175,R173:R181,1,TRUE),R173:R181,0)</f>
        <v>2</v>
      </c>
      <c r="R178" s="446">
        <v>4000000</v>
      </c>
      <c r="S178" s="141"/>
      <c r="T178" s="446">
        <v>2000000</v>
      </c>
      <c r="AE178" s="237"/>
      <c r="AF178" s="225"/>
      <c r="AG178" s="227"/>
      <c r="AH178">
        <v>172</v>
      </c>
      <c r="AI178" t="s">
        <v>3630</v>
      </c>
      <c r="AJ178" s="415" t="str">
        <f t="shared" ca="1" si="24"/>
        <v/>
      </c>
    </row>
    <row r="179" spans="15:36" x14ac:dyDescent="0.25">
      <c r="O179" t="s">
        <v>3434</v>
      </c>
      <c r="Q179" s="263" cm="1">
        <f t="array" ref="Q179">INDEX(R173:R181,Q178+1)</f>
        <v>1000000</v>
      </c>
      <c r="R179" s="446">
        <v>5000000</v>
      </c>
      <c r="S179" s="141"/>
      <c r="T179" s="446">
        <v>2000000</v>
      </c>
      <c r="AE179" s="237"/>
      <c r="AF179" s="225"/>
      <c r="AG179" s="227"/>
      <c r="AH179">
        <v>173</v>
      </c>
      <c r="AI179" t="s">
        <v>3048</v>
      </c>
      <c r="AJ179" s="415" t="str">
        <f t="shared" ca="1" si="24"/>
        <v/>
      </c>
    </row>
    <row r="180" spans="15:36" x14ac:dyDescent="0.25">
      <c r="O180" t="s">
        <v>3435</v>
      </c>
      <c r="Q180" s="263">
        <f>IF(Q177="No match",Q179,Q177)</f>
        <v>0</v>
      </c>
      <c r="R180" s="446" t="s">
        <v>1070</v>
      </c>
      <c r="T180" s="446">
        <v>2000000</v>
      </c>
      <c r="AE180" s="237"/>
      <c r="AF180" s="225"/>
      <c r="AG180" s="227"/>
      <c r="AH180">
        <v>174</v>
      </c>
      <c r="AI180" t="s">
        <v>3049</v>
      </c>
      <c r="AJ180" s="415" t="str">
        <f t="shared" ca="1" si="24"/>
        <v/>
      </c>
    </row>
    <row r="181" spans="15:36" x14ac:dyDescent="0.25">
      <c r="R181" s="446" t="s">
        <v>1064</v>
      </c>
      <c r="T181" s="446">
        <v>0</v>
      </c>
      <c r="AE181" s="237"/>
      <c r="AF181" s="225"/>
      <c r="AG181" s="227"/>
      <c r="AH181">
        <v>175</v>
      </c>
      <c r="AI181" t="s">
        <v>3050</v>
      </c>
      <c r="AJ181" s="415" t="str">
        <f t="shared" ca="1" si="24"/>
        <v/>
      </c>
    </row>
    <row r="182" spans="15:36" x14ac:dyDescent="0.25">
      <c r="R182" s="446"/>
      <c r="T182" s="446"/>
      <c r="AE182" s="237"/>
      <c r="AF182" s="225"/>
      <c r="AG182" s="227"/>
      <c r="AH182">
        <v>176</v>
      </c>
      <c r="AI182" t="s">
        <v>3051</v>
      </c>
      <c r="AJ182" s="415" t="str">
        <f t="shared" ca="1" si="24"/>
        <v/>
      </c>
    </row>
    <row r="183" spans="15:36" x14ac:dyDescent="0.25">
      <c r="R183" s="446"/>
      <c r="T183" s="446"/>
      <c r="AE183" s="237"/>
      <c r="AF183" s="225"/>
      <c r="AG183" s="227"/>
      <c r="AH183">
        <v>177</v>
      </c>
      <c r="AI183" t="s">
        <v>3052</v>
      </c>
      <c r="AJ183" s="415" t="str">
        <f t="shared" ca="1" si="24"/>
        <v/>
      </c>
    </row>
    <row r="184" spans="15:36" x14ac:dyDescent="0.25">
      <c r="O184" s="493" t="s">
        <v>2519</v>
      </c>
      <c r="R184" s="446"/>
      <c r="T184" s="446"/>
      <c r="AE184" s="237"/>
      <c r="AF184" s="225"/>
      <c r="AG184" s="227"/>
      <c r="AH184">
        <v>178</v>
      </c>
      <c r="AI184" t="s">
        <v>3053</v>
      </c>
      <c r="AJ184" s="415" t="str">
        <f t="shared" ca="1" si="24"/>
        <v/>
      </c>
    </row>
    <row r="185" spans="15:36" x14ac:dyDescent="0.25">
      <c r="O185" s="5" t="s">
        <v>1056</v>
      </c>
      <c r="Q185" s="242" t="s">
        <v>1057</v>
      </c>
      <c r="R185" s="243" t="s">
        <v>1058</v>
      </c>
      <c r="S185" s="244"/>
      <c r="T185" s="243" t="s">
        <v>1059</v>
      </c>
      <c r="U185" s="244" t="s">
        <v>1060</v>
      </c>
      <c r="AE185" s="237"/>
      <c r="AF185" s="225"/>
      <c r="AG185" s="227"/>
      <c r="AH185">
        <v>179</v>
      </c>
      <c r="AI185" t="s">
        <v>2780</v>
      </c>
      <c r="AJ185" s="415" t="str">
        <f t="shared" ca="1" si="24"/>
        <v/>
      </c>
    </row>
    <row r="186" spans="15:36" x14ac:dyDescent="0.25">
      <c r="O186" t="s">
        <v>1071</v>
      </c>
      <c r="Q186" s="245">
        <f>IF($C$144="Other",VALUE($C$145),$C$144)</f>
        <v>0</v>
      </c>
      <c r="R186" s="446" t="s">
        <v>1062</v>
      </c>
      <c r="T186" s="415">
        <v>0</v>
      </c>
      <c r="U186" s="246">
        <f>IFERROR(VLOOKUP($Q$191,$R$186:$T$198,3,FALSE),0)</f>
        <v>0</v>
      </c>
      <c r="AE186" s="237"/>
      <c r="AF186" s="225"/>
      <c r="AG186" s="227"/>
      <c r="AH186">
        <v>180</v>
      </c>
      <c r="AI186" t="s">
        <v>2781</v>
      </c>
      <c r="AJ186" s="415" t="str">
        <f t="shared" ca="1" si="24"/>
        <v/>
      </c>
    </row>
    <row r="187" spans="15:36" x14ac:dyDescent="0.25">
      <c r="Q187" s="257"/>
      <c r="R187" s="485">
        <v>0</v>
      </c>
      <c r="S187" s="485"/>
      <c r="T187" s="485">
        <v>0</v>
      </c>
      <c r="U187" s="446"/>
      <c r="AE187" s="237"/>
      <c r="AF187" s="225"/>
      <c r="AG187" s="227"/>
      <c r="AH187">
        <v>181</v>
      </c>
      <c r="AI187" t="s">
        <v>2782</v>
      </c>
      <c r="AJ187" s="415" t="str">
        <f t="shared" ca="1" si="24"/>
        <v/>
      </c>
    </row>
    <row r="188" spans="15:36" x14ac:dyDescent="0.25">
      <c r="O188" t="s">
        <v>3432</v>
      </c>
      <c r="Q188" s="450">
        <f>IF(Q186&gt;R197,R197,IFERROR(VLOOKUP(Q186,R186:R198,1,FALSE),"No match"))</f>
        <v>0</v>
      </c>
      <c r="R188" s="446" t="s">
        <v>1067</v>
      </c>
      <c r="T188" s="415">
        <v>50000</v>
      </c>
      <c r="U188" s="446"/>
      <c r="AE188" s="237"/>
      <c r="AF188" s="225"/>
      <c r="AG188" s="227"/>
      <c r="AH188">
        <v>182</v>
      </c>
      <c r="AI188" t="s">
        <v>2783</v>
      </c>
      <c r="AJ188" s="415" t="str">
        <f t="shared" ca="1" si="24"/>
        <v/>
      </c>
    </row>
    <row r="189" spans="15:36" x14ac:dyDescent="0.25">
      <c r="O189" t="s">
        <v>3433</v>
      </c>
      <c r="Q189" s="263">
        <f>MATCH(VLOOKUP(Q186,R186:R198,1,TRUE),R186:R198,0)</f>
        <v>2</v>
      </c>
      <c r="R189" s="415">
        <v>1</v>
      </c>
      <c r="T189" s="415">
        <v>50000</v>
      </c>
      <c r="AE189" s="237"/>
      <c r="AF189" s="225"/>
      <c r="AG189" s="227"/>
      <c r="AH189">
        <v>183</v>
      </c>
      <c r="AI189" t="s">
        <v>2784</v>
      </c>
      <c r="AJ189" s="415" t="str">
        <f t="shared" ca="1" si="24"/>
        <v/>
      </c>
    </row>
    <row r="190" spans="15:36" x14ac:dyDescent="0.25">
      <c r="O190" t="s">
        <v>3434</v>
      </c>
      <c r="Q190" s="263" t="str" cm="1">
        <f t="array" ref="Q190">INDEX(R186:R198,Q189+1)</f>
        <v>Include</v>
      </c>
      <c r="R190" s="415">
        <v>25000</v>
      </c>
      <c r="T190" s="415">
        <v>50000</v>
      </c>
      <c r="AE190" s="237"/>
      <c r="AF190" s="225"/>
      <c r="AG190" s="227"/>
      <c r="AH190">
        <v>184</v>
      </c>
      <c r="AI190" t="s">
        <v>2785</v>
      </c>
      <c r="AJ190" s="415" t="str">
        <f t="shared" ca="1" si="24"/>
        <v/>
      </c>
    </row>
    <row r="191" spans="15:36" x14ac:dyDescent="0.25">
      <c r="O191" t="s">
        <v>3435</v>
      </c>
      <c r="Q191" s="263">
        <f>IF(Q188="No match",Q190,Q188)</f>
        <v>0</v>
      </c>
      <c r="R191" s="415">
        <v>50000</v>
      </c>
      <c r="T191" s="415">
        <v>50000</v>
      </c>
      <c r="AE191" s="237"/>
      <c r="AF191" s="225"/>
      <c r="AG191" s="227"/>
      <c r="AH191">
        <v>185</v>
      </c>
      <c r="AI191" t="s">
        <v>2786</v>
      </c>
      <c r="AJ191" s="415" t="str">
        <f t="shared" ca="1" si="24"/>
        <v/>
      </c>
    </row>
    <row r="192" spans="15:36" x14ac:dyDescent="0.25">
      <c r="R192" s="415">
        <v>100000</v>
      </c>
      <c r="T192" s="415">
        <v>100000</v>
      </c>
      <c r="AE192" s="237"/>
      <c r="AF192" s="225"/>
      <c r="AG192" s="227"/>
      <c r="AH192">
        <v>186</v>
      </c>
      <c r="AI192" t="s">
        <v>2787</v>
      </c>
      <c r="AJ192" s="415" t="str">
        <f t="shared" ca="1" si="24"/>
        <v/>
      </c>
    </row>
    <row r="193" spans="15:36" x14ac:dyDescent="0.25">
      <c r="R193" s="415">
        <v>250000</v>
      </c>
      <c r="T193" s="415">
        <v>100000</v>
      </c>
      <c r="AE193" s="237"/>
      <c r="AF193" s="225"/>
      <c r="AG193" s="227"/>
      <c r="AH193">
        <v>187</v>
      </c>
      <c r="AI193" t="s">
        <v>3448</v>
      </c>
      <c r="AJ193" s="415" t="str">
        <f t="shared" ca="1" si="24"/>
        <v/>
      </c>
    </row>
    <row r="194" spans="15:36" x14ac:dyDescent="0.25">
      <c r="R194" s="415">
        <v>500000</v>
      </c>
      <c r="T194" s="415">
        <v>100000</v>
      </c>
      <c r="AE194" s="237"/>
      <c r="AF194" s="225"/>
      <c r="AG194" s="227"/>
      <c r="AH194">
        <v>188</v>
      </c>
      <c r="AI194" t="s">
        <v>3631</v>
      </c>
      <c r="AJ194" s="415" t="str">
        <f t="shared" ca="1" si="24"/>
        <v/>
      </c>
    </row>
    <row r="195" spans="15:36" x14ac:dyDescent="0.25">
      <c r="R195" s="415">
        <v>1000000</v>
      </c>
      <c r="T195" s="415">
        <v>100000</v>
      </c>
      <c r="AE195" s="237"/>
      <c r="AF195" s="225"/>
      <c r="AG195" s="227"/>
      <c r="AH195">
        <v>189</v>
      </c>
      <c r="AI195" t="s">
        <v>3632</v>
      </c>
      <c r="AJ195" s="415" t="str">
        <f t="shared" ca="1" si="24"/>
        <v/>
      </c>
    </row>
    <row r="196" spans="15:36" x14ac:dyDescent="0.25">
      <c r="R196" s="415">
        <v>2000000</v>
      </c>
      <c r="T196" s="415">
        <v>100000</v>
      </c>
      <c r="AE196" s="237"/>
      <c r="AF196" s="225"/>
      <c r="AG196" s="227"/>
      <c r="AH196">
        <v>190</v>
      </c>
      <c r="AI196" t="s">
        <v>3633</v>
      </c>
      <c r="AJ196" s="415" t="str">
        <f t="shared" ca="1" si="24"/>
        <v/>
      </c>
    </row>
    <row r="197" spans="15:36" x14ac:dyDescent="0.25">
      <c r="R197" s="415">
        <v>5000000</v>
      </c>
      <c r="T197" s="415">
        <v>100000</v>
      </c>
      <c r="AE197" s="237"/>
      <c r="AF197" s="225"/>
      <c r="AG197" s="227"/>
      <c r="AH197">
        <v>191</v>
      </c>
      <c r="AI197" t="s">
        <v>3634</v>
      </c>
      <c r="AJ197" s="415" t="str">
        <f t="shared" ca="1" si="24"/>
        <v/>
      </c>
    </row>
    <row r="198" spans="15:36" x14ac:dyDescent="0.25">
      <c r="R198" s="446" t="s">
        <v>1064</v>
      </c>
      <c r="T198" s="415">
        <v>0</v>
      </c>
      <c r="AE198" s="237"/>
      <c r="AF198" s="225"/>
      <c r="AG198" s="227"/>
      <c r="AH198">
        <v>192</v>
      </c>
      <c r="AI198" t="s">
        <v>3453</v>
      </c>
      <c r="AJ198" s="415" t="str">
        <f t="shared" ca="1" si="24"/>
        <v/>
      </c>
    </row>
    <row r="199" spans="15:36" x14ac:dyDescent="0.25">
      <c r="R199" s="485"/>
      <c r="T199" s="415"/>
      <c r="AE199" s="237"/>
      <c r="AF199" s="225"/>
      <c r="AG199" s="227"/>
      <c r="AH199">
        <v>193</v>
      </c>
      <c r="AI199" t="s">
        <v>3635</v>
      </c>
      <c r="AJ199" s="415" t="str">
        <f t="shared" ca="1" si="24"/>
        <v/>
      </c>
    </row>
    <row r="200" spans="15:36" x14ac:dyDescent="0.25">
      <c r="O200" s="493" t="s">
        <v>2522</v>
      </c>
      <c r="R200" s="446"/>
      <c r="T200" s="446"/>
      <c r="AE200" s="237"/>
      <c r="AF200" s="225"/>
      <c r="AG200" s="227"/>
      <c r="AH200">
        <v>194</v>
      </c>
      <c r="AI200" t="s">
        <v>3636</v>
      </c>
      <c r="AJ200" s="415" t="str">
        <f t="shared" ca="1" si="24"/>
        <v/>
      </c>
    </row>
    <row r="201" spans="15:36" x14ac:dyDescent="0.25">
      <c r="O201" s="5" t="s">
        <v>1056</v>
      </c>
      <c r="Q201" s="242" t="s">
        <v>1057</v>
      </c>
      <c r="R201" s="243" t="s">
        <v>1058</v>
      </c>
      <c r="S201" s="244"/>
      <c r="T201" s="243" t="s">
        <v>1059</v>
      </c>
      <c r="U201" s="244" t="s">
        <v>1060</v>
      </c>
      <c r="AE201" s="237"/>
      <c r="AF201" s="225"/>
      <c r="AG201" s="227"/>
      <c r="AH201">
        <v>195</v>
      </c>
      <c r="AI201" t="s">
        <v>3456</v>
      </c>
      <c r="AJ201" s="415" t="str">
        <f t="shared" ca="1" si="24"/>
        <v/>
      </c>
    </row>
    <row r="202" spans="15:36" x14ac:dyDescent="0.25">
      <c r="Q202" s="252">
        <f>$C$98</f>
        <v>0</v>
      </c>
      <c r="R202" s="446" t="s">
        <v>2891</v>
      </c>
      <c r="T202" s="415">
        <v>10000</v>
      </c>
      <c r="U202" s="246">
        <f>IFERROR(VLOOKUP(Q203,R202:T205,3,FALSE),5000)</f>
        <v>5000</v>
      </c>
      <c r="AE202" s="237"/>
      <c r="AF202" s="225"/>
      <c r="AG202" s="227"/>
      <c r="AH202">
        <v>196</v>
      </c>
      <c r="AI202" t="s">
        <v>3637</v>
      </c>
      <c r="AJ202" s="415" t="str">
        <f t="shared" ca="1" si="24"/>
        <v/>
      </c>
    </row>
    <row r="203" spans="15:36" x14ac:dyDescent="0.25">
      <c r="O203" t="s">
        <v>1063</v>
      </c>
      <c r="Q203" s="249" t="str">
        <f>IFERROR(VLOOKUP(Q202,R202:R205,1,FALSE),"Essential")</f>
        <v>Essential</v>
      </c>
      <c r="R203" s="446" t="s">
        <v>2890</v>
      </c>
      <c r="T203" s="415">
        <v>10000</v>
      </c>
      <c r="U203" s="446"/>
      <c r="AE203" s="237"/>
      <c r="AF203" s="225"/>
      <c r="AG203" s="227"/>
      <c r="AH203">
        <v>197</v>
      </c>
      <c r="AI203" t="s">
        <v>3638</v>
      </c>
      <c r="AJ203" s="415" t="str">
        <f t="shared" ca="1" si="24"/>
        <v/>
      </c>
    </row>
    <row r="204" spans="15:36" x14ac:dyDescent="0.25">
      <c r="R204" s="446" t="s">
        <v>2889</v>
      </c>
      <c r="T204" s="415">
        <v>5000</v>
      </c>
      <c r="AE204" s="237"/>
      <c r="AF204" s="225"/>
      <c r="AG204" s="227"/>
      <c r="AH204">
        <v>198</v>
      </c>
      <c r="AI204" t="s">
        <v>3639</v>
      </c>
      <c r="AJ204" s="415" t="str">
        <f t="shared" ca="1" si="24"/>
        <v/>
      </c>
    </row>
    <row r="205" spans="15:36" x14ac:dyDescent="0.25">
      <c r="T205" s="415"/>
      <c r="AE205" s="237"/>
      <c r="AF205" s="225"/>
      <c r="AG205" s="227"/>
      <c r="AH205">
        <v>199</v>
      </c>
      <c r="AI205" t="s">
        <v>3640</v>
      </c>
      <c r="AJ205" s="415" t="str">
        <f t="shared" ref="AJ205:AJ218" ca="1" si="25">IFERROR(IF($AJ$7&lt;&gt;"Quote","",IF(VLOOKUP(AI205,$AF$7:$AG$248,2,FALSE)=0,"-",VLOOKUP(AI205,$AF$7:$AG$248,2,FALSE))),"-")</f>
        <v/>
      </c>
    </row>
    <row r="206" spans="15:36" x14ac:dyDescent="0.25">
      <c r="T206" s="446"/>
      <c r="AE206" s="237"/>
      <c r="AF206" s="225"/>
      <c r="AG206" s="227"/>
      <c r="AH206">
        <v>200</v>
      </c>
      <c r="AI206" t="s">
        <v>3641</v>
      </c>
      <c r="AJ206" s="415" t="str">
        <f t="shared" ca="1" si="25"/>
        <v/>
      </c>
    </row>
    <row r="207" spans="15:36" x14ac:dyDescent="0.25">
      <c r="O207" s="493" t="s">
        <v>2523</v>
      </c>
      <c r="R207" s="446"/>
      <c r="T207" s="446"/>
      <c r="AE207" s="237"/>
      <c r="AF207" s="225"/>
      <c r="AG207" s="227"/>
      <c r="AH207">
        <v>201</v>
      </c>
      <c r="AI207" t="s">
        <v>3642</v>
      </c>
      <c r="AJ207" s="415" t="str">
        <f t="shared" ca="1" si="25"/>
        <v/>
      </c>
    </row>
    <row r="208" spans="15:36" x14ac:dyDescent="0.25">
      <c r="O208" s="5" t="s">
        <v>1056</v>
      </c>
      <c r="Q208" s="242" t="s">
        <v>1057</v>
      </c>
      <c r="R208" s="243" t="s">
        <v>1058</v>
      </c>
      <c r="S208" s="244"/>
      <c r="T208" s="243" t="s">
        <v>1059</v>
      </c>
      <c r="U208" s="244" t="s">
        <v>1060</v>
      </c>
      <c r="AE208" s="237"/>
      <c r="AF208" s="225"/>
      <c r="AG208" s="227"/>
      <c r="AH208">
        <v>202</v>
      </c>
      <c r="AI208" t="s">
        <v>3643</v>
      </c>
      <c r="AJ208" s="415" t="str">
        <f t="shared" ca="1" si="25"/>
        <v/>
      </c>
    </row>
    <row r="209" spans="15:39" x14ac:dyDescent="0.25">
      <c r="Q209" s="252">
        <f>$C$98</f>
        <v>0</v>
      </c>
      <c r="R209" s="446" t="s">
        <v>2891</v>
      </c>
      <c r="T209" s="415">
        <v>1000</v>
      </c>
      <c r="U209" s="246">
        <f>IFERROR(VLOOKUP(Q210,R209:T212,3,FALSE),1000)</f>
        <v>1000</v>
      </c>
      <c r="AE209" s="237"/>
      <c r="AF209" s="225"/>
      <c r="AG209" s="227"/>
      <c r="AH209">
        <v>203</v>
      </c>
      <c r="AI209" t="s">
        <v>3644</v>
      </c>
      <c r="AJ209" s="415" t="str">
        <f t="shared" ca="1" si="25"/>
        <v/>
      </c>
    </row>
    <row r="210" spans="15:39" x14ac:dyDescent="0.25">
      <c r="O210" t="s">
        <v>1063</v>
      </c>
      <c r="Q210" s="249" t="str">
        <f>IFERROR(VLOOKUP(Q209,R209:R212,1,FALSE),"Essential")</f>
        <v>Essential</v>
      </c>
      <c r="R210" s="446" t="s">
        <v>2890</v>
      </c>
      <c r="T210" s="415">
        <v>1000</v>
      </c>
      <c r="U210" s="446"/>
      <c r="AE210" s="237"/>
      <c r="AF210" s="225"/>
      <c r="AG210" s="227"/>
      <c r="AH210">
        <v>204</v>
      </c>
      <c r="AI210" t="s">
        <v>3645</v>
      </c>
      <c r="AJ210" s="415" t="str">
        <f t="shared" ca="1" si="25"/>
        <v/>
      </c>
    </row>
    <row r="211" spans="15:39" x14ac:dyDescent="0.25">
      <c r="R211" s="446" t="s">
        <v>2889</v>
      </c>
      <c r="T211" s="415">
        <v>1000</v>
      </c>
      <c r="AE211" s="237"/>
      <c r="AF211" s="225"/>
      <c r="AG211" s="227"/>
      <c r="AH211">
        <v>205</v>
      </c>
      <c r="AI211" t="s">
        <v>3646</v>
      </c>
      <c r="AJ211" s="415" t="str">
        <f t="shared" ca="1" si="25"/>
        <v/>
      </c>
    </row>
    <row r="212" spans="15:39" x14ac:dyDescent="0.25">
      <c r="AE212" s="237"/>
      <c r="AF212" s="225"/>
      <c r="AG212" s="227"/>
      <c r="AH212">
        <v>206</v>
      </c>
      <c r="AI212" t="s">
        <v>3647</v>
      </c>
      <c r="AJ212" s="415" t="str">
        <f t="shared" ca="1" si="25"/>
        <v/>
      </c>
    </row>
    <row r="213" spans="15:39" x14ac:dyDescent="0.25">
      <c r="AE213" s="237"/>
      <c r="AF213" s="225"/>
      <c r="AG213" s="227"/>
      <c r="AH213">
        <v>207</v>
      </c>
      <c r="AI213" t="s">
        <v>3648</v>
      </c>
      <c r="AJ213" s="415" t="str">
        <f t="shared" ca="1" si="25"/>
        <v/>
      </c>
    </row>
    <row r="214" spans="15:39" x14ac:dyDescent="0.25">
      <c r="O214" s="493" t="s">
        <v>1208</v>
      </c>
      <c r="R214" s="446"/>
      <c r="T214" s="446"/>
      <c r="AE214" s="237"/>
      <c r="AF214" s="225"/>
      <c r="AG214" s="227"/>
      <c r="AH214">
        <v>208</v>
      </c>
      <c r="AI214" t="s">
        <v>3649</v>
      </c>
      <c r="AJ214" s="436" t="str">
        <f t="shared" ca="1" si="25"/>
        <v/>
      </c>
    </row>
    <row r="215" spans="15:39" x14ac:dyDescent="0.25">
      <c r="O215" s="5" t="s">
        <v>1056</v>
      </c>
      <c r="Q215" s="242" t="s">
        <v>1057</v>
      </c>
      <c r="R215" s="243" t="s">
        <v>1058</v>
      </c>
      <c r="S215" s="244"/>
      <c r="T215" s="243" t="s">
        <v>1059</v>
      </c>
      <c r="U215" s="244" t="s">
        <v>1060</v>
      </c>
      <c r="AE215" s="237"/>
      <c r="AF215" s="225"/>
      <c r="AG215" s="227"/>
      <c r="AH215">
        <v>209</v>
      </c>
      <c r="AI215" t="s">
        <v>3650</v>
      </c>
      <c r="AJ215" s="415" t="str">
        <f t="shared" ca="1" si="25"/>
        <v/>
      </c>
    </row>
    <row r="216" spans="15:39" x14ac:dyDescent="0.25">
      <c r="O216" t="s">
        <v>3590</v>
      </c>
      <c r="Q216" s="245">
        <f>IF($C$144="Other",VALUE($C$145),$C$144)</f>
        <v>0</v>
      </c>
      <c r="R216" s="446">
        <f>IF(Q216="Include",2,IF(SUM(Q216)&gt;0,2,0))</f>
        <v>0</v>
      </c>
      <c r="T216" s="446"/>
      <c r="U216" s="246">
        <f>IF(R219=2,"3rd",IF(R217=1,"3rd",IF(R216=1,"1st",0)))</f>
        <v>0</v>
      </c>
      <c r="AE216" s="237"/>
      <c r="AF216" s="225"/>
      <c r="AG216" s="227"/>
      <c r="AH216">
        <v>210</v>
      </c>
      <c r="AI216" t="s">
        <v>3651</v>
      </c>
      <c r="AJ216" s="495" t="str">
        <f t="shared" ca="1" si="25"/>
        <v/>
      </c>
    </row>
    <row r="217" spans="15:39" x14ac:dyDescent="0.25">
      <c r="Q217" s="245"/>
      <c r="R217" s="446">
        <f>IF(Q217="Include",1,IF(SUM(Q217)&gt;0,1,0))</f>
        <v>0</v>
      </c>
      <c r="T217" s="446"/>
      <c r="U217" s="446"/>
      <c r="AE217" s="237"/>
      <c r="AF217" s="225"/>
      <c r="AG217" s="227"/>
      <c r="AH217">
        <v>211</v>
      </c>
      <c r="AI217" t="s">
        <v>3652</v>
      </c>
      <c r="AJ217" s="415" t="str">
        <f t="shared" ca="1" si="25"/>
        <v/>
      </c>
    </row>
    <row r="218" spans="15:39" x14ac:dyDescent="0.25">
      <c r="R218" s="446"/>
      <c r="T218" s="446"/>
      <c r="AE218" s="237"/>
      <c r="AF218" s="225"/>
      <c r="AG218" s="227"/>
      <c r="AH218" s="175">
        <v>212</v>
      </c>
      <c r="AI218" s="175" t="s">
        <v>3658</v>
      </c>
      <c r="AJ218" s="497" t="str">
        <f t="shared" ca="1" si="25"/>
        <v/>
      </c>
      <c r="AK218" s="498"/>
      <c r="AM218" t="s">
        <v>3659</v>
      </c>
    </row>
    <row r="219" spans="15:39" x14ac:dyDescent="0.25">
      <c r="R219" s="446">
        <f>SUM(R216:R217)</f>
        <v>0</v>
      </c>
      <c r="T219" s="446"/>
      <c r="AE219" s="237"/>
      <c r="AF219" s="225"/>
      <c r="AG219" s="227"/>
      <c r="AH219">
        <v>213</v>
      </c>
      <c r="AI219" t="s">
        <v>3663</v>
      </c>
      <c r="AJ219" s="495" t="str">
        <f ca="1">IFERROR(IF($AJ$7&lt;&gt;"Quote","",IF(VLOOKUP(AI219,$AF$7:$AG$248,2,FALSE)=0,"-",VLOOKUP(AI219,$AF$7:$AG$248,2,FALSE))),"-")</f>
        <v/>
      </c>
    </row>
    <row r="220" spans="15:39" x14ac:dyDescent="0.25">
      <c r="R220" s="317"/>
      <c r="T220" s="317"/>
      <c r="AE220" s="237"/>
      <c r="AF220" s="225"/>
      <c r="AG220" s="227"/>
    </row>
    <row r="221" spans="15:39" x14ac:dyDescent="0.25">
      <c r="R221" s="317"/>
      <c r="T221" s="317"/>
      <c r="AE221" s="237"/>
      <c r="AF221" s="225"/>
      <c r="AG221" s="227"/>
    </row>
    <row r="222" spans="15:39" x14ac:dyDescent="0.25">
      <c r="O222" s="493" t="s">
        <v>2587</v>
      </c>
      <c r="R222" s="326"/>
      <c r="T222" s="326"/>
      <c r="AE222" s="237"/>
      <c r="AF222" s="225"/>
      <c r="AG222" s="227"/>
    </row>
    <row r="223" spans="15:39" x14ac:dyDescent="0.25">
      <c r="O223" s="5" t="s">
        <v>1056</v>
      </c>
      <c r="Q223" s="242" t="s">
        <v>1057</v>
      </c>
      <c r="R223" s="243" t="s">
        <v>1058</v>
      </c>
      <c r="S223" s="244"/>
      <c r="T223" s="243" t="s">
        <v>1059</v>
      </c>
      <c r="U223" s="244" t="s">
        <v>2592</v>
      </c>
      <c r="AE223" s="237"/>
      <c r="AF223" s="225"/>
      <c r="AG223" s="227"/>
    </row>
    <row r="224" spans="15:39" x14ac:dyDescent="0.25">
      <c r="O224" t="s">
        <v>2588</v>
      </c>
      <c r="Q224" s="420">
        <f>C131</f>
        <v>0</v>
      </c>
      <c r="R224" t="s">
        <v>1413</v>
      </c>
      <c r="T224" s="326" t="s">
        <v>2590</v>
      </c>
      <c r="U224" s="248" t="str">
        <f>IFERROR(VLOOKUP(Q224,$R$224:$T$228,3,FALSE),"Decline")</f>
        <v>Decline</v>
      </c>
      <c r="AE224" s="237"/>
      <c r="AF224" s="225"/>
      <c r="AG224" s="227"/>
    </row>
    <row r="225" spans="15:33" x14ac:dyDescent="0.25">
      <c r="O225" t="s">
        <v>2589</v>
      </c>
      <c r="Q225" s="420">
        <f>C132</f>
        <v>0</v>
      </c>
      <c r="R225" t="s">
        <v>2555</v>
      </c>
      <c r="T225" s="326" t="s">
        <v>2590</v>
      </c>
      <c r="U225" s="248"/>
      <c r="AE225" s="237"/>
      <c r="AF225" s="225"/>
      <c r="AG225" s="227"/>
    </row>
    <row r="226" spans="15:33" x14ac:dyDescent="0.25">
      <c r="O226" t="s">
        <v>3592</v>
      </c>
      <c r="Q226" s="420">
        <f>C133</f>
        <v>0</v>
      </c>
      <c r="R226" t="s">
        <v>3591</v>
      </c>
      <c r="T226" s="326" t="s">
        <v>2590</v>
      </c>
      <c r="U226" s="485"/>
      <c r="AE226" s="237"/>
      <c r="AF226" s="225"/>
      <c r="AG226" s="227"/>
    </row>
    <row r="227" spans="15:33" x14ac:dyDescent="0.25">
      <c r="R227" t="s">
        <v>1137</v>
      </c>
      <c r="T227" s="326" t="s">
        <v>2591</v>
      </c>
      <c r="U227" s="485"/>
      <c r="AE227" s="237"/>
      <c r="AF227" s="225"/>
      <c r="AG227" s="227"/>
    </row>
    <row r="228" spans="15:33" x14ac:dyDescent="0.25">
      <c r="R228" t="s">
        <v>2544</v>
      </c>
      <c r="T228" s="326" t="s">
        <v>2591</v>
      </c>
      <c r="U228" s="485"/>
      <c r="AE228" s="237"/>
      <c r="AF228" s="225"/>
      <c r="AG228" s="227"/>
    </row>
    <row r="229" spans="15:33" x14ac:dyDescent="0.25">
      <c r="T229" s="326"/>
      <c r="U229" s="485"/>
      <c r="AE229" s="237"/>
      <c r="AF229" s="225"/>
      <c r="AG229" s="227"/>
    </row>
    <row r="230" spans="15:33" x14ac:dyDescent="0.25">
      <c r="U230" s="485"/>
      <c r="AE230" s="237"/>
      <c r="AF230" s="225"/>
      <c r="AG230" s="227"/>
    </row>
    <row r="231" spans="15:33" x14ac:dyDescent="0.25">
      <c r="R231" t="s">
        <v>3593</v>
      </c>
      <c r="T231" s="326" t="s">
        <v>2591</v>
      </c>
      <c r="U231" s="248" t="str">
        <f>IF(Q224="Fuses",VLOOKUP(Q225,$R$231:$T$234,3,FALSE),"Accept")</f>
        <v>Accept</v>
      </c>
      <c r="AE231" s="237"/>
      <c r="AF231" s="225"/>
      <c r="AG231" s="227"/>
    </row>
    <row r="232" spans="15:33" x14ac:dyDescent="0.25">
      <c r="R232" t="s">
        <v>3594</v>
      </c>
      <c r="T232" s="326" t="s">
        <v>2590</v>
      </c>
      <c r="U232" s="485"/>
      <c r="AE232" s="237"/>
      <c r="AF232" s="225"/>
      <c r="AG232" s="227"/>
    </row>
    <row r="233" spans="15:33" x14ac:dyDescent="0.25">
      <c r="R233" t="s">
        <v>3595</v>
      </c>
      <c r="T233" s="326" t="s">
        <v>2590</v>
      </c>
      <c r="U233" s="485"/>
      <c r="AE233" s="237"/>
      <c r="AF233" s="225"/>
      <c r="AG233" s="227"/>
    </row>
    <row r="234" spans="15:33" x14ac:dyDescent="0.25">
      <c r="R234" t="s">
        <v>2544</v>
      </c>
      <c r="T234" s="326" t="s">
        <v>2591</v>
      </c>
      <c r="U234" s="485"/>
      <c r="AE234" s="237"/>
      <c r="AF234" s="225"/>
      <c r="AG234" s="227"/>
    </row>
    <row r="235" spans="15:33" x14ac:dyDescent="0.25">
      <c r="T235" s="326"/>
      <c r="U235" s="485"/>
      <c r="AE235" s="237"/>
      <c r="AF235" s="225"/>
      <c r="AG235" s="227"/>
    </row>
    <row r="236" spans="15:33" x14ac:dyDescent="0.25">
      <c r="R236" t="s">
        <v>3598</v>
      </c>
      <c r="T236" s="326" t="s">
        <v>2590</v>
      </c>
      <c r="U236" s="485" t="str">
        <f>IFERROR(VLOOKUP(Q226,$R$236:$T$240,3,FALSE),"Decline")</f>
        <v>Decline</v>
      </c>
      <c r="AE236" s="237"/>
      <c r="AF236" s="225"/>
      <c r="AG236" s="227"/>
    </row>
    <row r="237" spans="15:33" x14ac:dyDescent="0.25">
      <c r="R237" t="s">
        <v>2557</v>
      </c>
      <c r="T237" s="326" t="s">
        <v>2591</v>
      </c>
      <c r="U237" s="485"/>
      <c r="AE237" s="237"/>
      <c r="AF237" s="225"/>
      <c r="AG237" s="227"/>
    </row>
    <row r="238" spans="15:33" x14ac:dyDescent="0.25">
      <c r="R238" t="s">
        <v>2556</v>
      </c>
      <c r="T238" s="485" t="s">
        <v>2591</v>
      </c>
      <c r="U238" s="485"/>
      <c r="AE238" s="237"/>
      <c r="AF238" s="225"/>
      <c r="AG238" s="227"/>
    </row>
    <row r="239" spans="15:33" x14ac:dyDescent="0.25">
      <c r="R239" t="s">
        <v>2544</v>
      </c>
      <c r="T239" s="485" t="s">
        <v>2591</v>
      </c>
      <c r="U239" s="485"/>
      <c r="AE239" s="237"/>
      <c r="AF239" s="225"/>
      <c r="AG239" s="227"/>
    </row>
    <row r="240" spans="15:33" x14ac:dyDescent="0.25">
      <c r="R240" t="s">
        <v>1354</v>
      </c>
      <c r="T240" s="485" t="s">
        <v>2591</v>
      </c>
      <c r="U240" s="485"/>
      <c r="AE240" s="237"/>
      <c r="AF240" s="225"/>
      <c r="AG240" s="227"/>
    </row>
    <row r="241" spans="15:33" x14ac:dyDescent="0.25">
      <c r="U241" s="485"/>
      <c r="AE241" s="237"/>
      <c r="AF241" s="225"/>
      <c r="AG241" s="227"/>
    </row>
    <row r="242" spans="15:33" x14ac:dyDescent="0.25">
      <c r="U242" s="246" t="str">
        <f>IF(OR(U224="Decline",U231="Decline",U236="Decline"),"Decline","Accept")</f>
        <v>Decline</v>
      </c>
      <c r="AE242" s="237"/>
      <c r="AF242" s="225"/>
      <c r="AG242" s="227"/>
    </row>
    <row r="243" spans="15:33" x14ac:dyDescent="0.25">
      <c r="AE243" s="237"/>
      <c r="AF243" s="225"/>
      <c r="AG243" s="227"/>
    </row>
    <row r="244" spans="15:33" x14ac:dyDescent="0.25">
      <c r="O244" s="493" t="s">
        <v>2547</v>
      </c>
      <c r="R244" s="326"/>
      <c r="T244" s="326"/>
      <c r="AE244" s="237"/>
      <c r="AF244" s="225"/>
      <c r="AG244" s="227"/>
    </row>
    <row r="245" spans="15:33" x14ac:dyDescent="0.25">
      <c r="O245" s="5" t="s">
        <v>1056</v>
      </c>
      <c r="Q245" s="242" t="s">
        <v>1057</v>
      </c>
      <c r="R245" s="243" t="s">
        <v>1058</v>
      </c>
      <c r="S245" s="244"/>
      <c r="T245" s="243" t="s">
        <v>1059</v>
      </c>
      <c r="U245" s="244" t="s">
        <v>2592</v>
      </c>
      <c r="AE245" s="237"/>
      <c r="AF245" s="225"/>
      <c r="AG245" s="227"/>
    </row>
    <row r="246" spans="15:33" x14ac:dyDescent="0.25">
      <c r="O246" t="s">
        <v>1409</v>
      </c>
      <c r="Q246" s="420">
        <f>C139</f>
        <v>0</v>
      </c>
      <c r="R246" t="s">
        <v>3575</v>
      </c>
      <c r="T246" s="326" t="s">
        <v>2590</v>
      </c>
      <c r="U246" s="246" t="str">
        <f>IFERROR(VLOOKUP(Q246,R246:T258,3,FALSE),"Decline")</f>
        <v>Decline</v>
      </c>
      <c r="AE246" s="237"/>
      <c r="AF246" s="225"/>
      <c r="AG246" s="227"/>
    </row>
    <row r="247" spans="15:33" x14ac:dyDescent="0.25">
      <c r="Q247" s="407"/>
      <c r="R247" t="s">
        <v>3576</v>
      </c>
      <c r="T247" s="326" t="s">
        <v>2590</v>
      </c>
      <c r="U247" s="248"/>
      <c r="AE247" s="237"/>
      <c r="AF247" s="225"/>
      <c r="AG247" s="227"/>
    </row>
    <row r="248" spans="15:33" x14ac:dyDescent="0.25">
      <c r="R248" t="s">
        <v>3577</v>
      </c>
      <c r="T248" s="326" t="s">
        <v>2590</v>
      </c>
      <c r="AE248" s="237"/>
      <c r="AF248" s="225"/>
      <c r="AG248" s="227"/>
    </row>
    <row r="249" spans="15:33" x14ac:dyDescent="0.25">
      <c r="R249" t="s">
        <v>3578</v>
      </c>
      <c r="T249" s="326" t="s">
        <v>2590</v>
      </c>
      <c r="AE249" s="237"/>
      <c r="AF249" s="225"/>
      <c r="AG249" s="227"/>
    </row>
    <row r="250" spans="15:33" x14ac:dyDescent="0.25">
      <c r="O250" s="202"/>
      <c r="R250" t="s">
        <v>3609</v>
      </c>
      <c r="T250" s="492" t="s">
        <v>2590</v>
      </c>
      <c r="AE250" s="237"/>
      <c r="AF250" s="225"/>
      <c r="AG250" s="227"/>
    </row>
    <row r="251" spans="15:33" x14ac:dyDescent="0.25">
      <c r="O251" s="202"/>
      <c r="R251" t="s">
        <v>3579</v>
      </c>
      <c r="T251" s="485" t="s">
        <v>2590</v>
      </c>
      <c r="AE251" s="237"/>
      <c r="AF251" s="225"/>
      <c r="AG251" s="227"/>
    </row>
    <row r="252" spans="15:33" x14ac:dyDescent="0.25">
      <c r="O252" s="202"/>
      <c r="R252" t="s">
        <v>3610</v>
      </c>
      <c r="T252" s="326" t="s">
        <v>2590</v>
      </c>
      <c r="AE252" s="237"/>
      <c r="AF252" s="225"/>
      <c r="AG252" s="227"/>
    </row>
    <row r="253" spans="15:33" x14ac:dyDescent="0.25">
      <c r="O253" s="202"/>
      <c r="R253" t="s">
        <v>3580</v>
      </c>
      <c r="T253" s="326" t="s">
        <v>2591</v>
      </c>
      <c r="AE253" s="237"/>
      <c r="AF253" s="225"/>
      <c r="AG253" s="227"/>
    </row>
    <row r="254" spans="15:33" x14ac:dyDescent="0.25">
      <c r="O254" s="202"/>
      <c r="R254" t="s">
        <v>3581</v>
      </c>
      <c r="T254" s="485" t="s">
        <v>2591</v>
      </c>
      <c r="AE254" s="237"/>
      <c r="AF254" s="225"/>
      <c r="AG254" s="227"/>
    </row>
    <row r="255" spans="15:33" x14ac:dyDescent="0.25">
      <c r="R255" t="s">
        <v>2544</v>
      </c>
      <c r="T255" s="326" t="s">
        <v>2591</v>
      </c>
      <c r="AE255" s="237"/>
      <c r="AF255" s="225"/>
      <c r="AG255" s="227"/>
    </row>
    <row r="256" spans="15:33" x14ac:dyDescent="0.25">
      <c r="R256" t="s">
        <v>1354</v>
      </c>
      <c r="T256" s="326" t="s">
        <v>2591</v>
      </c>
      <c r="AE256" s="237"/>
      <c r="AF256" s="225"/>
      <c r="AG256" s="227"/>
    </row>
    <row r="257" spans="10:33" x14ac:dyDescent="0.25">
      <c r="R257" t="s">
        <v>1137</v>
      </c>
      <c r="T257" s="434" t="s">
        <v>2591</v>
      </c>
      <c r="AE257" s="237"/>
      <c r="AF257" s="225"/>
      <c r="AG257" s="227"/>
    </row>
    <row r="258" spans="10:33" x14ac:dyDescent="0.25">
      <c r="R258" t="s">
        <v>2805</v>
      </c>
      <c r="T258" s="434" t="s">
        <v>2591</v>
      </c>
      <c r="AE258" s="237"/>
      <c r="AF258" s="225"/>
      <c r="AG258" s="227"/>
    </row>
    <row r="259" spans="10:33" x14ac:dyDescent="0.25">
      <c r="AE259" s="237"/>
      <c r="AF259" s="225"/>
      <c r="AG259" s="227"/>
    </row>
    <row r="260" spans="10:33" x14ac:dyDescent="0.25">
      <c r="Q260" s="451"/>
      <c r="AE260" s="237"/>
      <c r="AF260" s="225"/>
      <c r="AG260" s="227"/>
    </row>
    <row r="261" spans="10:33" x14ac:dyDescent="0.25">
      <c r="O261" s="493" t="s">
        <v>2601</v>
      </c>
      <c r="R261" s="326"/>
      <c r="T261" s="326"/>
      <c r="AE261" s="237"/>
      <c r="AF261" s="225"/>
      <c r="AG261" s="227"/>
    </row>
    <row r="262" spans="10:33" x14ac:dyDescent="0.25">
      <c r="O262" s="5" t="s">
        <v>1056</v>
      </c>
      <c r="Q262" s="242" t="s">
        <v>1057</v>
      </c>
      <c r="R262" s="243" t="s">
        <v>1058</v>
      </c>
      <c r="S262" s="243" t="s">
        <v>1059</v>
      </c>
      <c r="T262" s="243"/>
      <c r="U262" s="244" t="s">
        <v>2617</v>
      </c>
      <c r="AE262" s="237"/>
      <c r="AF262" s="225"/>
      <c r="AG262" s="227"/>
    </row>
    <row r="263" spans="10:33" x14ac:dyDescent="0.25">
      <c r="O263" t="s">
        <v>2600</v>
      </c>
      <c r="Q263" s="409">
        <f>C101</f>
        <v>0</v>
      </c>
      <c r="R263" t="s">
        <v>1062</v>
      </c>
      <c r="S263" t="s">
        <v>1137</v>
      </c>
      <c r="T263" t="s">
        <v>2619</v>
      </c>
      <c r="U263" s="411" t="str">
        <f>IFERROR(VLOOKUP(Q263,$R$263:$S$269,2,FALSE),"None")</f>
        <v>None</v>
      </c>
      <c r="AE263" s="237"/>
      <c r="AF263" s="225"/>
      <c r="AG263" s="227"/>
    </row>
    <row r="264" spans="10:33" x14ac:dyDescent="0.25">
      <c r="O264" t="s">
        <v>2602</v>
      </c>
      <c r="Q264" s="410">
        <f>$C$98</f>
        <v>0</v>
      </c>
      <c r="R264" t="s">
        <v>3436</v>
      </c>
      <c r="S264" t="s">
        <v>1155</v>
      </c>
      <c r="T264" t="s">
        <v>2620</v>
      </c>
      <c r="U264" t="str">
        <f>IF(Q265&gt;10000,"Yes","No")</f>
        <v>No</v>
      </c>
      <c r="V264" t="b">
        <f>IF($U$264="Yes",IF($U$263=$S$263,$S$264,IF($U$263=$S$265,$S$264,$U$263)))</f>
        <v>0</v>
      </c>
      <c r="AE264" s="237"/>
      <c r="AF264" s="225"/>
      <c r="AG264" s="227"/>
    </row>
    <row r="265" spans="10:33" x14ac:dyDescent="0.25">
      <c r="O265" t="s">
        <v>2599</v>
      </c>
      <c r="Q265" s="409">
        <f>SUM($C$92,C94,C95)</f>
        <v>0</v>
      </c>
      <c r="R265" t="s">
        <v>1156</v>
      </c>
      <c r="S265" t="s">
        <v>1156</v>
      </c>
      <c r="T265" t="s">
        <v>2621</v>
      </c>
      <c r="U265" s="141" t="str">
        <f>IF(Q266="Yes","Yes",IF(Q271="Not required","No",IF(Q271="Declined","No",IF(Q271&gt;0,"Yes","No"))))</f>
        <v>No</v>
      </c>
      <c r="AE265" s="237"/>
      <c r="AF265" s="225"/>
      <c r="AG265" s="227"/>
    </row>
    <row r="266" spans="10:33" x14ac:dyDescent="0.25">
      <c r="O266" t="s">
        <v>2630</v>
      </c>
      <c r="Q266" s="409" t="str">
        <f>Calculator!G26</f>
        <v>No</v>
      </c>
      <c r="R266" t="s">
        <v>2918</v>
      </c>
      <c r="S266" t="s">
        <v>1157</v>
      </c>
      <c r="T266" t="s">
        <v>2622</v>
      </c>
      <c r="U266" t="str">
        <f>IF(U265="Yes",S267,IF(U264="Yes",V264,U263))</f>
        <v>None</v>
      </c>
      <c r="AE266" s="237"/>
      <c r="AF266" s="225"/>
      <c r="AG266" s="227"/>
    </row>
    <row r="267" spans="10:33" x14ac:dyDescent="0.25">
      <c r="J267" s="478">
        <v>1000230</v>
      </c>
      <c r="K267" s="479" t="s">
        <v>3418</v>
      </c>
      <c r="L267" s="480"/>
      <c r="O267" t="s">
        <v>3419</v>
      </c>
      <c r="Q267" s="409">
        <f>C102</f>
        <v>0</v>
      </c>
      <c r="R267" t="s">
        <v>2623</v>
      </c>
      <c r="S267" t="s">
        <v>3567</v>
      </c>
      <c r="AE267" s="237"/>
      <c r="AF267" s="225"/>
      <c r="AG267" s="227"/>
    </row>
    <row r="268" spans="10:33" x14ac:dyDescent="0.25">
      <c r="J268" s="481" t="s">
        <v>3532</v>
      </c>
      <c r="K268" s="482" t="s">
        <v>2888</v>
      </c>
      <c r="L268" s="480"/>
      <c r="O268" t="s">
        <v>3420</v>
      </c>
      <c r="Q268" s="409">
        <f t="shared" ref="Q268:Q270" si="26">C103</f>
        <v>0</v>
      </c>
      <c r="R268" t="s">
        <v>2793</v>
      </c>
      <c r="S268" t="s">
        <v>1157</v>
      </c>
      <c r="T268" t="s">
        <v>3439</v>
      </c>
      <c r="U268" s="416">
        <f>IF(Q274&lt;=S272,S272,S273)</f>
        <v>2500</v>
      </c>
      <c r="V268" s="416">
        <f>IF(Q271&lt;=S272,S272,S273)</f>
        <v>2500</v>
      </c>
      <c r="AE268" s="237"/>
      <c r="AF268" s="225"/>
      <c r="AG268" s="227"/>
    </row>
    <row r="269" spans="10:33" x14ac:dyDescent="0.25">
      <c r="J269" s="480"/>
      <c r="K269" s="480"/>
      <c r="L269" s="480"/>
      <c r="O269" t="s">
        <v>3421</v>
      </c>
      <c r="Q269" s="409">
        <f t="shared" si="26"/>
        <v>0</v>
      </c>
      <c r="R269" t="s">
        <v>1064</v>
      </c>
      <c r="S269" t="s">
        <v>1137</v>
      </c>
      <c r="T269" s="326"/>
      <c r="U269" s="149">
        <f>IF($U$266=V269,$U$268,0)</f>
        <v>0</v>
      </c>
      <c r="V269" t="s">
        <v>1155</v>
      </c>
      <c r="AE269" s="237"/>
      <c r="AF269" s="225"/>
      <c r="AG269" s="227"/>
    </row>
    <row r="270" spans="10:33" x14ac:dyDescent="0.25">
      <c r="J270" s="480"/>
      <c r="K270" s="480"/>
      <c r="L270" s="480"/>
      <c r="O270" t="s">
        <v>3422</v>
      </c>
      <c r="Q270" s="409">
        <f t="shared" si="26"/>
        <v>0</v>
      </c>
      <c r="T270" s="326"/>
      <c r="U270" s="149">
        <f>IF($U$266=V270,1000,0)</f>
        <v>0</v>
      </c>
      <c r="V270" t="s">
        <v>1156</v>
      </c>
      <c r="AE270" s="237"/>
      <c r="AF270" s="225"/>
      <c r="AG270" s="227"/>
    </row>
    <row r="271" spans="10:33" x14ac:dyDescent="0.25">
      <c r="J271" s="478">
        <v>1000240</v>
      </c>
      <c r="K271" s="483" t="s">
        <v>3419</v>
      </c>
      <c r="L271" s="480"/>
      <c r="O271" t="s">
        <v>3423</v>
      </c>
      <c r="Q271" s="409">
        <f>IF(C106="Other",C107,C106)</f>
        <v>0</v>
      </c>
      <c r="S271" s="326"/>
      <c r="T271" s="326"/>
      <c r="U271" s="149">
        <f>IF($U$266=V271,$U$268,IF(U266=V272,U268,0))</f>
        <v>0</v>
      </c>
      <c r="V271" t="s">
        <v>1157</v>
      </c>
      <c r="AE271" s="237"/>
      <c r="AF271" s="225"/>
      <c r="AG271" s="227"/>
    </row>
    <row r="272" spans="10:33" x14ac:dyDescent="0.25">
      <c r="J272" s="478">
        <v>1000250</v>
      </c>
      <c r="K272" s="483" t="s">
        <v>3420</v>
      </c>
      <c r="L272" s="480"/>
      <c r="O272" s="175"/>
      <c r="P272" s="175"/>
      <c r="Q272" s="451"/>
      <c r="R272" t="s">
        <v>3437</v>
      </c>
      <c r="S272" s="326">
        <v>2500</v>
      </c>
      <c r="U272" s="149">
        <f>IF($U$266=V272,$V$268,0)</f>
        <v>0</v>
      </c>
      <c r="V272" t="s">
        <v>1158</v>
      </c>
      <c r="AE272" s="237"/>
      <c r="AF272" s="225"/>
      <c r="AG272" s="227"/>
    </row>
    <row r="273" spans="10:33" x14ac:dyDescent="0.25">
      <c r="J273" s="478">
        <v>1000260</v>
      </c>
      <c r="K273" s="483" t="s">
        <v>3421</v>
      </c>
      <c r="L273" s="480"/>
      <c r="R273" t="s">
        <v>3438</v>
      </c>
      <c r="S273" s="326">
        <v>5000</v>
      </c>
      <c r="AE273" s="237"/>
      <c r="AF273" s="225"/>
      <c r="AG273" s="227"/>
    </row>
    <row r="274" spans="10:33" x14ac:dyDescent="0.25">
      <c r="J274" s="478">
        <v>1000270</v>
      </c>
      <c r="K274" s="483" t="s">
        <v>3422</v>
      </c>
      <c r="L274" s="480"/>
      <c r="O274" t="s">
        <v>2624</v>
      </c>
      <c r="Q274" s="141">
        <f>SUM(Q267:Q270)</f>
        <v>0</v>
      </c>
      <c r="AE274" s="237"/>
      <c r="AF274" s="225"/>
      <c r="AG274" s="227"/>
    </row>
    <row r="275" spans="10:33" x14ac:dyDescent="0.25">
      <c r="J275" s="478">
        <v>1000280</v>
      </c>
      <c r="K275" s="483" t="s">
        <v>3423</v>
      </c>
      <c r="L275" s="480"/>
      <c r="AE275" s="237"/>
      <c r="AF275" s="225"/>
      <c r="AG275" s="227"/>
    </row>
    <row r="276" spans="10:33" x14ac:dyDescent="0.25">
      <c r="J276" s="478" t="s">
        <v>3563</v>
      </c>
      <c r="K276" s="483" t="s">
        <v>3424</v>
      </c>
      <c r="L276" s="480"/>
      <c r="AE276" s="237"/>
      <c r="AF276" s="225"/>
      <c r="AG276" s="227"/>
    </row>
    <row r="277" spans="10:33" x14ac:dyDescent="0.25">
      <c r="J277" s="480"/>
      <c r="K277" s="480"/>
      <c r="L277" s="480"/>
      <c r="AE277" s="237"/>
      <c r="AF277" s="225"/>
      <c r="AG277" s="227"/>
    </row>
    <row r="278" spans="10:33" x14ac:dyDescent="0.25">
      <c r="J278" s="480"/>
      <c r="K278" s="480"/>
      <c r="L278" s="480"/>
      <c r="AE278" s="237"/>
      <c r="AF278" s="225"/>
      <c r="AG278" s="227"/>
    </row>
    <row r="279" spans="10:33" x14ac:dyDescent="0.25">
      <c r="J279" s="480"/>
      <c r="K279" s="480"/>
      <c r="L279" s="480"/>
      <c r="AE279" s="237"/>
      <c r="AF279" s="225"/>
      <c r="AG279" s="227"/>
    </row>
    <row r="280" spans="10:33" x14ac:dyDescent="0.25">
      <c r="J280" s="480"/>
      <c r="K280" s="480"/>
      <c r="L280" s="480"/>
      <c r="O280" s="241" t="s">
        <v>2618</v>
      </c>
      <c r="AE280" s="237"/>
      <c r="AF280" s="225"/>
      <c r="AG280" s="227"/>
    </row>
    <row r="281" spans="10:33" x14ac:dyDescent="0.25">
      <c r="J281" s="480"/>
      <c r="K281" s="480"/>
      <c r="L281" s="480"/>
      <c r="O281" s="241" t="s">
        <v>2625</v>
      </c>
      <c r="AE281" s="237"/>
      <c r="AF281" s="225"/>
      <c r="AG281" s="227"/>
    </row>
    <row r="282" spans="10:33" x14ac:dyDescent="0.25">
      <c r="J282" s="480"/>
      <c r="K282" s="480"/>
      <c r="L282" s="480"/>
      <c r="O282" s="241"/>
      <c r="R282" s="326"/>
      <c r="T282" s="326"/>
      <c r="AE282" s="237"/>
      <c r="AF282" s="225"/>
      <c r="AG282" s="227"/>
    </row>
    <row r="283" spans="10:33" x14ac:dyDescent="0.25">
      <c r="O283" s="174"/>
      <c r="P283" s="175"/>
      <c r="Q283" s="412"/>
      <c r="R283" s="413"/>
      <c r="S283" s="414"/>
      <c r="T283" s="413"/>
      <c r="U283" s="414"/>
      <c r="V283" s="175"/>
      <c r="W283" s="175"/>
      <c r="X283" s="175"/>
      <c r="Y283" s="175"/>
      <c r="Z283" s="175"/>
      <c r="AA283" s="175"/>
      <c r="AB283" s="175"/>
      <c r="AE283" s="237"/>
      <c r="AF283" s="225"/>
      <c r="AG283" s="227"/>
    </row>
    <row r="284" spans="10:33" x14ac:dyDescent="0.25">
      <c r="O284" s="493" t="s">
        <v>1306</v>
      </c>
      <c r="R284" s="326"/>
      <c r="T284" s="326"/>
      <c r="W284" s="175"/>
      <c r="X284" s="175"/>
      <c r="Y284" s="175"/>
      <c r="Z284" s="175"/>
      <c r="AA284" s="175"/>
      <c r="AB284" s="175"/>
      <c r="AE284" s="237"/>
      <c r="AF284" s="225"/>
      <c r="AG284" s="227"/>
    </row>
    <row r="285" spans="10:33" x14ac:dyDescent="0.25">
      <c r="O285" s="5" t="s">
        <v>1056</v>
      </c>
      <c r="Q285" s="242" t="s">
        <v>1057</v>
      </c>
      <c r="R285" s="243" t="s">
        <v>1058</v>
      </c>
      <c r="S285" s="244"/>
      <c r="T285" s="243" t="s">
        <v>1059</v>
      </c>
      <c r="U285" s="244" t="s">
        <v>1060</v>
      </c>
      <c r="W285" s="175"/>
      <c r="X285" s="175"/>
      <c r="Y285" s="175"/>
      <c r="Z285" s="175"/>
      <c r="AA285" s="175"/>
      <c r="AB285" s="175"/>
      <c r="AC285" s="255"/>
      <c r="AE285" s="237"/>
      <c r="AF285" s="225"/>
      <c r="AG285" s="227"/>
    </row>
    <row r="286" spans="10:33" x14ac:dyDescent="0.25">
      <c r="O286" t="s">
        <v>1306</v>
      </c>
      <c r="Q286" s="245">
        <f>$C$97</f>
        <v>0</v>
      </c>
      <c r="R286" s="326" t="s">
        <v>1067</v>
      </c>
      <c r="T286" s="415">
        <f>Calculator!C40</f>
        <v>0</v>
      </c>
      <c r="U286" s="335">
        <f>IFERROR(VLOOKUP($Q$286,$R$286:$T$288,3,FALSE),0)</f>
        <v>0</v>
      </c>
      <c r="W286" s="175"/>
      <c r="X286" s="175"/>
      <c r="Y286" s="175"/>
      <c r="Z286" s="175"/>
      <c r="AA286" s="175"/>
      <c r="AB286" s="175"/>
      <c r="AE286" s="237"/>
      <c r="AF286" s="225"/>
      <c r="AG286" s="227"/>
    </row>
    <row r="287" spans="10:33" x14ac:dyDescent="0.25">
      <c r="Q287" s="250"/>
      <c r="R287" s="326" t="s">
        <v>2851</v>
      </c>
      <c r="S287" s="141"/>
      <c r="T287" s="326">
        <v>0</v>
      </c>
      <c r="W287" s="175"/>
      <c r="X287" s="175"/>
      <c r="Y287" s="175"/>
      <c r="Z287" s="175"/>
      <c r="AA287" s="175"/>
      <c r="AB287" s="175"/>
      <c r="AE287" s="237"/>
      <c r="AF287" s="225"/>
      <c r="AG287" s="227"/>
    </row>
    <row r="288" spans="10:33" x14ac:dyDescent="0.25">
      <c r="R288" s="326" t="s">
        <v>1062</v>
      </c>
      <c r="S288" s="141"/>
      <c r="T288" s="326">
        <v>0</v>
      </c>
      <c r="W288" s="175"/>
      <c r="X288" s="175"/>
      <c r="Y288" s="175"/>
      <c r="Z288" s="175"/>
      <c r="AA288" s="175"/>
      <c r="AB288" s="175"/>
      <c r="AE288" s="237"/>
      <c r="AF288" s="225"/>
      <c r="AG288" s="227"/>
    </row>
    <row r="289" spans="15:33" x14ac:dyDescent="0.25">
      <c r="R289" s="326"/>
      <c r="S289" s="141"/>
      <c r="T289" s="326"/>
      <c r="W289" s="175"/>
      <c r="X289" s="175"/>
      <c r="Y289" s="175"/>
      <c r="Z289" s="175"/>
      <c r="AA289" s="175"/>
      <c r="AB289" s="175"/>
      <c r="AE289" s="237"/>
      <c r="AF289" s="225"/>
      <c r="AG289" s="227"/>
    </row>
    <row r="290" spans="15:33" x14ac:dyDescent="0.25">
      <c r="O290" s="493" t="s">
        <v>2633</v>
      </c>
      <c r="R290" s="326"/>
      <c r="T290" s="326"/>
      <c r="W290" s="175"/>
      <c r="X290" s="175"/>
      <c r="Y290" s="175"/>
      <c r="Z290" s="175"/>
      <c r="AA290" s="175"/>
      <c r="AB290" s="175"/>
      <c r="AE290" s="237"/>
      <c r="AF290" s="225"/>
      <c r="AG290" s="227"/>
    </row>
    <row r="291" spans="15:33" x14ac:dyDescent="0.25">
      <c r="O291" s="5" t="s">
        <v>1056</v>
      </c>
      <c r="Q291" s="242" t="s">
        <v>1057</v>
      </c>
      <c r="R291" s="243" t="s">
        <v>1058</v>
      </c>
      <c r="S291" s="243" t="s">
        <v>1059</v>
      </c>
      <c r="T291" s="243"/>
      <c r="U291" s="244" t="s">
        <v>1060</v>
      </c>
      <c r="W291" s="175"/>
      <c r="X291" s="175"/>
      <c r="Y291" s="175"/>
      <c r="Z291" s="175"/>
      <c r="AA291" s="175"/>
      <c r="AB291" s="175"/>
      <c r="AE291" s="237"/>
      <c r="AF291" s="225"/>
      <c r="AG291" s="227"/>
    </row>
    <row r="292" spans="15:33" x14ac:dyDescent="0.25">
      <c r="O292" t="s">
        <v>2633</v>
      </c>
      <c r="Q292" s="305">
        <f>C109</f>
        <v>0</v>
      </c>
      <c r="R292" t="s">
        <v>209</v>
      </c>
      <c r="S292" s="415">
        <f>Q295</f>
        <v>0</v>
      </c>
      <c r="U292" t="s">
        <v>1152</v>
      </c>
      <c r="V292" s="448">
        <f>IFERROR(VLOOKUP(Q292,$R$292:$S$296,2,FALSE),0)</f>
        <v>0</v>
      </c>
      <c r="W292" s="175"/>
      <c r="X292" s="175"/>
      <c r="Y292" s="175"/>
      <c r="Z292" s="175"/>
      <c r="AA292" s="175"/>
      <c r="AB292" s="175"/>
      <c r="AE292" s="237"/>
      <c r="AF292" s="225"/>
      <c r="AG292" s="227"/>
    </row>
    <row r="293" spans="15:33" x14ac:dyDescent="0.25">
      <c r="O293" t="s">
        <v>3440</v>
      </c>
      <c r="Q293" s="100">
        <f>C110</f>
        <v>0</v>
      </c>
      <c r="R293" t="s">
        <v>2635</v>
      </c>
      <c r="S293" s="415">
        <f>Q294</f>
        <v>0</v>
      </c>
      <c r="T293" s="326"/>
      <c r="V293" s="175"/>
      <c r="W293" s="175"/>
      <c r="X293" s="175"/>
      <c r="Y293" s="175"/>
      <c r="Z293" s="175"/>
      <c r="AA293" s="175"/>
      <c r="AB293" s="175"/>
      <c r="AE293" s="237"/>
      <c r="AF293" s="225"/>
      <c r="AG293" s="227"/>
    </row>
    <row r="294" spans="15:33" x14ac:dyDescent="0.25">
      <c r="O294" t="s">
        <v>3441</v>
      </c>
      <c r="Q294" s="100">
        <f>C111</f>
        <v>0</v>
      </c>
      <c r="R294" t="s">
        <v>2912</v>
      </c>
      <c r="S294" s="415">
        <f>Q293</f>
        <v>0</v>
      </c>
      <c r="T294" s="326"/>
      <c r="AE294" s="237"/>
      <c r="AF294" s="225"/>
      <c r="AG294" s="227"/>
    </row>
    <row r="295" spans="15:33" x14ac:dyDescent="0.25">
      <c r="O295" t="s">
        <v>3442</v>
      </c>
      <c r="Q295" s="305">
        <f>SUM(H34)*33%</f>
        <v>0</v>
      </c>
      <c r="R295" t="s">
        <v>1064</v>
      </c>
      <c r="S295" s="446">
        <v>0</v>
      </c>
      <c r="T295" s="326"/>
      <c r="AE295" s="237"/>
      <c r="AF295" s="225"/>
      <c r="AG295" s="227"/>
    </row>
    <row r="296" spans="15:33" x14ac:dyDescent="0.25">
      <c r="R296" t="s">
        <v>1062</v>
      </c>
      <c r="S296" s="446">
        <v>0</v>
      </c>
      <c r="AE296" s="237"/>
      <c r="AF296" s="225"/>
      <c r="AG296" s="227"/>
    </row>
    <row r="297" spans="15:33" x14ac:dyDescent="0.25">
      <c r="AE297" s="237"/>
      <c r="AF297" s="225"/>
      <c r="AG297" s="227"/>
    </row>
    <row r="298" spans="15:33" x14ac:dyDescent="0.25">
      <c r="AE298" s="237"/>
      <c r="AF298" s="225"/>
      <c r="AG298" s="227"/>
    </row>
    <row r="299" spans="15:33" x14ac:dyDescent="0.25">
      <c r="AE299" s="237"/>
      <c r="AF299" s="225"/>
      <c r="AG299" s="227"/>
    </row>
    <row r="300" spans="15:33" x14ac:dyDescent="0.25">
      <c r="AE300" s="237"/>
      <c r="AF300" s="225"/>
      <c r="AG300" s="227"/>
    </row>
    <row r="301" spans="15:33" x14ac:dyDescent="0.25">
      <c r="AE301" s="237"/>
      <c r="AF301" s="225"/>
      <c r="AG301" s="227"/>
    </row>
    <row r="302" spans="15:33" x14ac:dyDescent="0.25">
      <c r="AE302" s="237"/>
      <c r="AF302" s="225"/>
      <c r="AG302" s="227"/>
    </row>
    <row r="303" spans="15:33" x14ac:dyDescent="0.25">
      <c r="O303" s="493" t="s">
        <v>2863</v>
      </c>
      <c r="AE303" s="237"/>
      <c r="AF303" s="225"/>
      <c r="AG303" s="227"/>
    </row>
    <row r="304" spans="15:33" x14ac:dyDescent="0.25">
      <c r="O304" s="5" t="s">
        <v>1056</v>
      </c>
      <c r="Q304" s="242" t="s">
        <v>1057</v>
      </c>
      <c r="R304" s="243" t="s">
        <v>1058</v>
      </c>
      <c r="S304" s="243" t="s">
        <v>1059</v>
      </c>
      <c r="U304" s="244" t="s">
        <v>1060</v>
      </c>
      <c r="AE304" s="237"/>
      <c r="AF304" s="225"/>
      <c r="AG304" s="227"/>
    </row>
    <row r="305" spans="15:33" x14ac:dyDescent="0.25">
      <c r="O305" t="s">
        <v>1361</v>
      </c>
      <c r="Q305" s="305">
        <f>$C$108</f>
        <v>0</v>
      </c>
      <c r="S305" s="415" t="s">
        <v>568</v>
      </c>
      <c r="U305" t="s">
        <v>568</v>
      </c>
      <c r="V305" s="149">
        <f>IF($Q$305=0,0,IF($Q$306="Essential",MIN($Q$305,250000),0))</f>
        <v>0</v>
      </c>
      <c r="AE305" s="237"/>
      <c r="AF305" s="225"/>
      <c r="AG305" s="227"/>
    </row>
    <row r="306" spans="15:33" x14ac:dyDescent="0.25">
      <c r="O306" t="s">
        <v>2602</v>
      </c>
      <c r="Q306" s="408">
        <f>C98</f>
        <v>0</v>
      </c>
      <c r="S306" s="435" t="s">
        <v>629</v>
      </c>
      <c r="U306" t="s">
        <v>629</v>
      </c>
      <c r="V306" s="149">
        <f>IF($Q$305=0,0,IF($Q$306="Essential",0,MIN($Q$305,250000)))</f>
        <v>0</v>
      </c>
      <c r="AE306" s="237"/>
      <c r="AF306" s="225"/>
      <c r="AG306" s="227"/>
    </row>
    <row r="307" spans="15:33" x14ac:dyDescent="0.25">
      <c r="AE307" s="237"/>
      <c r="AF307" s="225"/>
      <c r="AG307" s="227"/>
    </row>
    <row r="308" spans="15:33" x14ac:dyDescent="0.25">
      <c r="AE308" s="237"/>
      <c r="AF308" s="225"/>
      <c r="AG308" s="227"/>
    </row>
    <row r="309" spans="15:33" x14ac:dyDescent="0.25">
      <c r="O309" s="493" t="s">
        <v>2647</v>
      </c>
      <c r="R309" s="326"/>
      <c r="T309" s="326"/>
      <c r="W309" s="175"/>
      <c r="X309" s="175"/>
      <c r="Y309" s="175"/>
      <c r="Z309" s="175"/>
      <c r="AA309" s="175"/>
      <c r="AB309" s="175"/>
      <c r="AE309" s="237"/>
      <c r="AF309" s="225"/>
      <c r="AG309" s="227"/>
    </row>
    <row r="310" spans="15:33" x14ac:dyDescent="0.25">
      <c r="O310" s="5" t="s">
        <v>1056</v>
      </c>
      <c r="Q310" s="242" t="s">
        <v>1057</v>
      </c>
      <c r="R310" s="243" t="s">
        <v>1058</v>
      </c>
      <c r="S310" s="243" t="s">
        <v>1059</v>
      </c>
      <c r="T310" s="243"/>
      <c r="U310" s="244" t="s">
        <v>1060</v>
      </c>
      <c r="W310" s="175"/>
      <c r="X310" s="175"/>
      <c r="Y310" s="175"/>
      <c r="Z310" s="175"/>
      <c r="AA310" s="175"/>
      <c r="AB310" s="175"/>
      <c r="AE310" s="237"/>
      <c r="AF310" s="225"/>
      <c r="AG310" s="227"/>
    </row>
    <row r="311" spans="15:33" x14ac:dyDescent="0.25">
      <c r="O311" t="s">
        <v>2645</v>
      </c>
      <c r="Q311" s="305">
        <f>C130</f>
        <v>0</v>
      </c>
      <c r="S311" s="415"/>
      <c r="T311" s="415"/>
      <c r="U311" s="245" t="str">
        <f>IF(AND(Q311&lt;&gt;"Yes",Q311&lt;&gt;"No"),"No",Q311)</f>
        <v>No</v>
      </c>
      <c r="W311" s="175"/>
      <c r="X311" s="175"/>
      <c r="Y311" s="175"/>
      <c r="Z311" s="175"/>
      <c r="AA311" s="175"/>
      <c r="AB311" s="175"/>
      <c r="AE311" s="237"/>
      <c r="AF311" s="225"/>
      <c r="AG311" s="227"/>
    </row>
    <row r="312" spans="15:33" x14ac:dyDescent="0.25">
      <c r="S312" s="326"/>
      <c r="T312" s="326"/>
      <c r="V312" s="175"/>
      <c r="W312" s="175"/>
      <c r="X312" s="175"/>
      <c r="Y312" s="175"/>
      <c r="Z312" s="175"/>
      <c r="AA312" s="175"/>
      <c r="AB312" s="175"/>
      <c r="AE312" s="237"/>
      <c r="AF312" s="225"/>
      <c r="AG312" s="227"/>
    </row>
    <row r="313" spans="15:33" x14ac:dyDescent="0.25">
      <c r="Q313" s="416"/>
      <c r="R313" s="175"/>
      <c r="S313" s="248"/>
      <c r="T313" s="248"/>
      <c r="U313" s="175"/>
      <c r="V313" s="175"/>
      <c r="AE313" s="237"/>
      <c r="AF313" s="225"/>
      <c r="AG313" s="227"/>
    </row>
    <row r="314" spans="15:33" x14ac:dyDescent="0.25">
      <c r="Q314" s="417"/>
      <c r="R314" s="175"/>
      <c r="S314" s="248"/>
      <c r="T314" s="248"/>
      <c r="U314" s="175"/>
      <c r="V314" s="175"/>
      <c r="AE314" s="237"/>
      <c r="AF314" s="225"/>
      <c r="AG314" s="227"/>
    </row>
    <row r="315" spans="15:33" x14ac:dyDescent="0.25">
      <c r="O315" s="493" t="s">
        <v>1115</v>
      </c>
      <c r="R315" s="326"/>
      <c r="T315" s="326"/>
      <c r="W315" s="175"/>
      <c r="X315" s="175"/>
      <c r="Y315" s="175"/>
      <c r="Z315" s="175"/>
      <c r="AA315" s="175"/>
      <c r="AB315" s="175"/>
      <c r="AE315" s="238"/>
      <c r="AF315" s="234"/>
      <c r="AG315" s="236"/>
    </row>
    <row r="316" spans="15:33" x14ac:dyDescent="0.25">
      <c r="O316" s="5" t="s">
        <v>1056</v>
      </c>
      <c r="Q316" s="242" t="s">
        <v>1057</v>
      </c>
      <c r="R316" s="243" t="s">
        <v>1058</v>
      </c>
      <c r="S316" s="243" t="s">
        <v>1059</v>
      </c>
      <c r="T316" s="243"/>
      <c r="U316" s="244" t="s">
        <v>1060</v>
      </c>
      <c r="W316" s="175"/>
      <c r="X316" s="175"/>
      <c r="Y316" s="175"/>
      <c r="Z316" s="175"/>
      <c r="AA316" s="175"/>
      <c r="AB316" s="175"/>
    </row>
    <row r="317" spans="15:33" x14ac:dyDescent="0.25">
      <c r="O317" t="s">
        <v>2648</v>
      </c>
      <c r="Q317" s="305">
        <f>C129</f>
        <v>0</v>
      </c>
      <c r="R317" t="s">
        <v>2541</v>
      </c>
      <c r="S317" s="415" t="s">
        <v>1114</v>
      </c>
      <c r="T317" s="415"/>
      <c r="U317" s="245" t="str">
        <f>IFERROR(IF(Q318&lt;&gt;"No","No",VLOOKUP(Q317,$R$317:$S$322,2,FALSE)),"No")</f>
        <v>No</v>
      </c>
      <c r="W317" s="175"/>
      <c r="X317" s="175"/>
      <c r="Y317" s="175"/>
      <c r="Z317" s="175"/>
      <c r="AA317" s="175"/>
      <c r="AB317" s="175"/>
    </row>
    <row r="318" spans="15:33" x14ac:dyDescent="0.25">
      <c r="O318" t="s">
        <v>2584</v>
      </c>
      <c r="Q318" s="305">
        <f>C136</f>
        <v>0</v>
      </c>
      <c r="R318" t="s">
        <v>1352</v>
      </c>
      <c r="S318" s="326" t="s">
        <v>1398</v>
      </c>
      <c r="T318" s="326"/>
      <c r="V318" s="175"/>
      <c r="W318" s="175"/>
      <c r="X318" s="175"/>
      <c r="Y318" s="175"/>
      <c r="Z318" s="175"/>
      <c r="AA318" s="175"/>
      <c r="AB318" s="175"/>
    </row>
    <row r="319" spans="15:33" x14ac:dyDescent="0.25">
      <c r="R319" t="s">
        <v>2542</v>
      </c>
      <c r="S319" s="326" t="s">
        <v>1398</v>
      </c>
    </row>
    <row r="320" spans="15:33" x14ac:dyDescent="0.25">
      <c r="R320" t="s">
        <v>2543</v>
      </c>
      <c r="S320" s="326" t="s">
        <v>1398</v>
      </c>
    </row>
    <row r="321" spans="15:28" x14ac:dyDescent="0.25">
      <c r="R321" t="s">
        <v>2544</v>
      </c>
      <c r="S321" s="326" t="s">
        <v>1398</v>
      </c>
    </row>
    <row r="322" spans="15:28" x14ac:dyDescent="0.25">
      <c r="R322" t="s">
        <v>1354</v>
      </c>
      <c r="S322" s="326" t="s">
        <v>1398</v>
      </c>
    </row>
    <row r="324" spans="15:28" x14ac:dyDescent="0.25">
      <c r="O324" s="493" t="s">
        <v>2649</v>
      </c>
      <c r="R324" s="326"/>
      <c r="T324" s="326"/>
      <c r="W324" s="175"/>
      <c r="X324" s="175"/>
      <c r="Y324" s="175"/>
      <c r="Z324" s="175"/>
      <c r="AA324" s="175"/>
      <c r="AB324" s="175"/>
    </row>
    <row r="325" spans="15:28" x14ac:dyDescent="0.25">
      <c r="O325" s="5" t="s">
        <v>1056</v>
      </c>
      <c r="Q325" s="242" t="s">
        <v>1057</v>
      </c>
      <c r="R325" s="243" t="s">
        <v>1058</v>
      </c>
      <c r="S325" s="243" t="s">
        <v>1059</v>
      </c>
      <c r="T325" s="243"/>
      <c r="U325" s="244" t="s">
        <v>1060</v>
      </c>
      <c r="W325" s="175"/>
      <c r="X325" s="175"/>
      <c r="Y325" s="175"/>
      <c r="Z325" s="175"/>
      <c r="AA325" s="175"/>
      <c r="AB325" s="175"/>
    </row>
    <row r="326" spans="15:28" x14ac:dyDescent="0.25">
      <c r="O326" t="s">
        <v>2650</v>
      </c>
      <c r="Q326" s="305">
        <f>C134</f>
        <v>0</v>
      </c>
      <c r="R326" t="s">
        <v>2526</v>
      </c>
      <c r="S326" s="415" t="s">
        <v>1114</v>
      </c>
      <c r="T326" s="415"/>
      <c r="U326" s="245" t="str">
        <f>IFERROR(VLOOKUP(Q326,R326:S330,2,FALSE),"No")</f>
        <v>No</v>
      </c>
      <c r="W326" s="175"/>
      <c r="X326" s="175"/>
      <c r="Y326" s="175"/>
      <c r="Z326" s="175"/>
      <c r="AA326" s="175"/>
      <c r="AB326" s="175"/>
    </row>
    <row r="327" spans="15:28" x14ac:dyDescent="0.25">
      <c r="Q327" s="416"/>
      <c r="R327" t="s">
        <v>2527</v>
      </c>
      <c r="S327" s="326" t="s">
        <v>1398</v>
      </c>
      <c r="T327" s="326"/>
      <c r="V327" s="175"/>
      <c r="W327" s="175"/>
      <c r="X327" s="175"/>
      <c r="Y327" s="175"/>
      <c r="Z327" s="175"/>
      <c r="AA327" s="175"/>
      <c r="AB327" s="175"/>
    </row>
    <row r="328" spans="15:28" x14ac:dyDescent="0.25">
      <c r="R328" t="s">
        <v>2528</v>
      </c>
      <c r="S328" s="326" t="s">
        <v>1398</v>
      </c>
    </row>
    <row r="329" spans="15:28" x14ac:dyDescent="0.25">
      <c r="R329" t="s">
        <v>2529</v>
      </c>
      <c r="S329" s="326" t="s">
        <v>1398</v>
      </c>
    </row>
    <row r="330" spans="15:28" x14ac:dyDescent="0.25">
      <c r="R330" t="s">
        <v>2530</v>
      </c>
      <c r="S330" s="326" t="s">
        <v>1398</v>
      </c>
    </row>
    <row r="331" spans="15:28" x14ac:dyDescent="0.25">
      <c r="S331" s="326"/>
    </row>
    <row r="332" spans="15:28" x14ac:dyDescent="0.25">
      <c r="O332" s="493" t="s">
        <v>2651</v>
      </c>
      <c r="R332" s="326"/>
      <c r="T332" s="326"/>
      <c r="W332" s="175"/>
      <c r="X332" s="175"/>
      <c r="Y332" s="175"/>
      <c r="Z332" s="175"/>
      <c r="AA332" s="175"/>
      <c r="AB332" s="175"/>
    </row>
    <row r="333" spans="15:28" x14ac:dyDescent="0.25">
      <c r="O333" s="5" t="s">
        <v>1056</v>
      </c>
      <c r="Q333" s="242" t="s">
        <v>1057</v>
      </c>
      <c r="R333" s="243" t="s">
        <v>1058</v>
      </c>
      <c r="S333" s="243" t="s">
        <v>1059</v>
      </c>
      <c r="T333" s="243"/>
      <c r="U333" s="244" t="s">
        <v>1060</v>
      </c>
      <c r="W333" s="175"/>
      <c r="X333" s="175"/>
      <c r="Y333" s="175"/>
      <c r="Z333" s="175"/>
      <c r="AA333" s="175"/>
      <c r="AB333" s="175"/>
    </row>
    <row r="334" spans="15:28" x14ac:dyDescent="0.25">
      <c r="O334" t="s">
        <v>2652</v>
      </c>
      <c r="Q334" s="306">
        <f>C8</f>
        <v>0</v>
      </c>
      <c r="S334" s="415"/>
      <c r="T334" s="415"/>
      <c r="U334" s="245" t="str">
        <f>IF(Q334="No","Yes","No")</f>
        <v>No</v>
      </c>
      <c r="W334" s="175"/>
      <c r="X334" s="175"/>
      <c r="Y334" s="175"/>
      <c r="Z334" s="175"/>
      <c r="AA334" s="175"/>
      <c r="AB334" s="175"/>
    </row>
    <row r="335" spans="15:28" x14ac:dyDescent="0.25">
      <c r="Q335" s="416"/>
      <c r="S335" s="326"/>
      <c r="T335" s="326"/>
      <c r="V335" s="175"/>
      <c r="W335" s="175"/>
      <c r="X335" s="175"/>
      <c r="Y335" s="175"/>
      <c r="Z335" s="175"/>
      <c r="AA335" s="175"/>
      <c r="AB335" s="175"/>
    </row>
    <row r="336" spans="15:28" x14ac:dyDescent="0.25">
      <c r="S336" s="326"/>
    </row>
    <row r="337" spans="15:28" x14ac:dyDescent="0.25">
      <c r="O337" s="493" t="s">
        <v>1117</v>
      </c>
      <c r="R337" s="326"/>
      <c r="T337" s="326"/>
      <c r="W337" s="175"/>
      <c r="X337" s="175"/>
      <c r="Y337" s="175"/>
      <c r="Z337" s="175"/>
      <c r="AA337" s="175"/>
      <c r="AB337" s="175"/>
    </row>
    <row r="338" spans="15:28" x14ac:dyDescent="0.25">
      <c r="O338" s="5" t="s">
        <v>1056</v>
      </c>
      <c r="Q338" s="242" t="s">
        <v>1057</v>
      </c>
      <c r="R338" s="243" t="s">
        <v>1058</v>
      </c>
      <c r="S338" s="243" t="s">
        <v>1059</v>
      </c>
      <c r="T338" s="243"/>
      <c r="U338" s="244" t="s">
        <v>1060</v>
      </c>
      <c r="W338" s="175"/>
      <c r="X338" s="175"/>
      <c r="Y338" s="175"/>
      <c r="Z338" s="175"/>
      <c r="AA338" s="175"/>
      <c r="AB338" s="175"/>
    </row>
    <row r="339" spans="15:28" x14ac:dyDescent="0.25">
      <c r="O339" t="s">
        <v>1117</v>
      </c>
      <c r="Q339" s="305">
        <f>C143</f>
        <v>0</v>
      </c>
      <c r="S339" s="415"/>
      <c r="T339" s="415"/>
      <c r="U339" s="245" t="str">
        <f>IF(Q339="Yes","Yes","No")</f>
        <v>No</v>
      </c>
      <c r="W339" s="175"/>
      <c r="X339" s="175"/>
      <c r="Y339" s="175"/>
      <c r="Z339" s="175"/>
      <c r="AA339" s="175"/>
      <c r="AB339" s="175"/>
    </row>
    <row r="340" spans="15:28" x14ac:dyDescent="0.25">
      <c r="Q340" s="416"/>
      <c r="S340" s="326"/>
      <c r="T340" s="326"/>
      <c r="V340" s="175"/>
      <c r="W340" s="175"/>
      <c r="X340" s="175"/>
      <c r="Y340" s="175"/>
      <c r="Z340" s="175"/>
      <c r="AA340" s="175"/>
      <c r="AB340" s="175"/>
    </row>
    <row r="341" spans="15:28" x14ac:dyDescent="0.25">
      <c r="S341" s="326"/>
    </row>
    <row r="342" spans="15:28" x14ac:dyDescent="0.25">
      <c r="S342" s="326"/>
    </row>
    <row r="343" spans="15:28" x14ac:dyDescent="0.25">
      <c r="S343" s="326"/>
    </row>
    <row r="345" spans="15:28" x14ac:dyDescent="0.25">
      <c r="O345" s="493" t="s">
        <v>2653</v>
      </c>
      <c r="R345" s="326"/>
      <c r="T345" s="326"/>
      <c r="W345" s="175"/>
      <c r="X345" s="175"/>
      <c r="Y345" s="175"/>
      <c r="Z345" s="175"/>
      <c r="AA345" s="175"/>
      <c r="AB345" s="175"/>
    </row>
    <row r="346" spans="15:28" x14ac:dyDescent="0.25">
      <c r="O346" s="5" t="s">
        <v>1056</v>
      </c>
      <c r="Q346" s="242" t="s">
        <v>1057</v>
      </c>
      <c r="R346" s="243" t="s">
        <v>1058</v>
      </c>
      <c r="S346" s="243" t="s">
        <v>1059</v>
      </c>
      <c r="T346" s="243"/>
      <c r="U346" s="244" t="s">
        <v>1060</v>
      </c>
      <c r="W346" s="175"/>
      <c r="X346" s="175"/>
      <c r="Y346" s="175"/>
      <c r="Z346" s="175"/>
      <c r="AA346" s="175"/>
      <c r="AB346" s="175"/>
    </row>
    <row r="347" spans="15:28" x14ac:dyDescent="0.25">
      <c r="O347" t="s">
        <v>2653</v>
      </c>
      <c r="Q347" s="305">
        <f>C122</f>
        <v>0</v>
      </c>
      <c r="R347">
        <v>0</v>
      </c>
      <c r="S347" s="415">
        <v>500</v>
      </c>
      <c r="T347" s="415"/>
      <c r="U347" s="245">
        <f>VLOOKUP(Q347,$R$347:$S$355,2,FALSE)</f>
        <v>500</v>
      </c>
      <c r="W347" s="175"/>
      <c r="X347" s="175"/>
      <c r="Y347" s="175"/>
      <c r="Z347" s="175"/>
      <c r="AA347" s="175"/>
      <c r="AB347" s="175"/>
    </row>
    <row r="348" spans="15:28" x14ac:dyDescent="0.25">
      <c r="Q348" s="416"/>
      <c r="R348">
        <v>500</v>
      </c>
      <c r="S348" s="326">
        <v>500</v>
      </c>
      <c r="T348" s="326"/>
      <c r="V348" s="175"/>
      <c r="W348" s="175"/>
      <c r="X348" s="175"/>
      <c r="Y348" s="175"/>
      <c r="Z348" s="175"/>
      <c r="AA348" s="175"/>
      <c r="AB348" s="175"/>
    </row>
    <row r="349" spans="15:28" x14ac:dyDescent="0.25">
      <c r="R349">
        <v>1000</v>
      </c>
      <c r="S349" s="326">
        <v>1000</v>
      </c>
    </row>
    <row r="350" spans="15:28" x14ac:dyDescent="0.25">
      <c r="R350">
        <v>1500</v>
      </c>
      <c r="S350" s="326">
        <v>1000</v>
      </c>
    </row>
    <row r="351" spans="15:28" x14ac:dyDescent="0.25">
      <c r="R351">
        <v>2000</v>
      </c>
      <c r="S351" s="326">
        <v>2500</v>
      </c>
    </row>
    <row r="352" spans="15:28" x14ac:dyDescent="0.25">
      <c r="R352">
        <v>2500</v>
      </c>
      <c r="S352" s="326">
        <v>2500</v>
      </c>
    </row>
    <row r="353" spans="15:21" x14ac:dyDescent="0.25">
      <c r="R353">
        <v>5000</v>
      </c>
      <c r="S353" s="326">
        <v>2500</v>
      </c>
    </row>
    <row r="354" spans="15:21" x14ac:dyDescent="0.25">
      <c r="R354">
        <v>7500</v>
      </c>
      <c r="S354" s="326">
        <v>2500</v>
      </c>
    </row>
    <row r="355" spans="15:21" x14ac:dyDescent="0.25">
      <c r="R355">
        <v>10000</v>
      </c>
      <c r="S355" s="326">
        <v>2500</v>
      </c>
    </row>
    <row r="359" spans="15:21" x14ac:dyDescent="0.25">
      <c r="O359" s="493" t="s">
        <v>3565</v>
      </c>
      <c r="R359" s="459"/>
      <c r="T359" s="459"/>
    </row>
    <row r="360" spans="15:21" x14ac:dyDescent="0.25">
      <c r="O360" s="5" t="s">
        <v>1056</v>
      </c>
      <c r="Q360" s="242" t="s">
        <v>1057</v>
      </c>
      <c r="R360" s="243" t="s">
        <v>1058</v>
      </c>
      <c r="S360" s="244"/>
      <c r="T360" s="243" t="s">
        <v>1059</v>
      </c>
      <c r="U360" s="244" t="s">
        <v>2592</v>
      </c>
    </row>
    <row r="361" spans="15:21" x14ac:dyDescent="0.25">
      <c r="O361" t="s">
        <v>3566</v>
      </c>
      <c r="Q361" s="420">
        <f>$C$123</f>
        <v>0</v>
      </c>
      <c r="R361" t="s">
        <v>3569</v>
      </c>
      <c r="T361" s="459" t="s">
        <v>1114</v>
      </c>
      <c r="U361" s="246" t="str">
        <f>IFERROR(VLOOKUP(Q361,R361:T366,3,FALSE),"Yes")</f>
        <v>Yes</v>
      </c>
    </row>
    <row r="362" spans="15:21" x14ac:dyDescent="0.25">
      <c r="Q362" s="407"/>
      <c r="R362" t="s">
        <v>3570</v>
      </c>
      <c r="T362" s="459" t="s">
        <v>1398</v>
      </c>
      <c r="U362" s="248"/>
    </row>
    <row r="363" spans="15:21" x14ac:dyDescent="0.25">
      <c r="R363" t="s">
        <v>3571</v>
      </c>
      <c r="T363" s="459" t="s">
        <v>1398</v>
      </c>
    </row>
    <row r="364" spans="15:21" x14ac:dyDescent="0.25">
      <c r="R364" t="s">
        <v>3572</v>
      </c>
      <c r="T364" s="459" t="s">
        <v>1398</v>
      </c>
    </row>
    <row r="365" spans="15:21" x14ac:dyDescent="0.25">
      <c r="R365" t="s">
        <v>3573</v>
      </c>
      <c r="T365" s="459" t="s">
        <v>1398</v>
      </c>
    </row>
    <row r="366" spans="15:21" x14ac:dyDescent="0.25">
      <c r="R366" t="s">
        <v>3574</v>
      </c>
      <c r="T366" s="459" t="s">
        <v>1398</v>
      </c>
    </row>
    <row r="367" spans="15:21" x14ac:dyDescent="0.25">
      <c r="T367" s="459"/>
    </row>
    <row r="368" spans="15:21" x14ac:dyDescent="0.25">
      <c r="T368" s="459"/>
    </row>
  </sheetData>
  <mergeCells count="8">
    <mergeCell ref="AH2:AK2"/>
    <mergeCell ref="D8:E8"/>
    <mergeCell ref="B2:C2"/>
    <mergeCell ref="D2:N2"/>
    <mergeCell ref="AC2:AD2"/>
    <mergeCell ref="AE2:AG2"/>
    <mergeCell ref="I5:N5"/>
    <mergeCell ref="I6:N6"/>
  </mergeCells>
  <conditionalFormatting sqref="J9:J29 J31:J200">
    <cfRule type="containsBlanks" dxfId="5" priority="4">
      <formula>LEN(TRIM(J9))=0</formula>
    </cfRule>
    <cfRule type="cellIs" dxfId="4" priority="5" operator="equal">
      <formula>1</formula>
    </cfRule>
    <cfRule type="cellIs" dxfId="3" priority="6" operator="equal">
      <formula>0</formula>
    </cfRule>
  </conditionalFormatting>
  <conditionalFormatting sqref="J30">
    <cfRule type="containsBlanks" dxfId="2" priority="1">
      <formula>LEN(TRIM(J30))=0</formula>
    </cfRule>
    <cfRule type="cellIs" dxfId="1" priority="2" operator="equal">
      <formula>1</formula>
    </cfRule>
    <cfRule type="cellIs" dxfId="0" priority="3" operator="equal">
      <formula>0</formula>
    </cfRule>
  </conditionalFormatting>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5:AJ217"/>
  <sheetViews>
    <sheetView topLeftCell="A132" zoomScale="115" zoomScaleNormal="115" workbookViewId="0">
      <selection activeCell="F169" sqref="F169"/>
    </sheetView>
  </sheetViews>
  <sheetFormatPr defaultRowHeight="15" x14ac:dyDescent="0.25"/>
  <cols>
    <col min="1" max="1" width="6.140625" customWidth="1"/>
    <col min="2" max="2" width="31.85546875" customWidth="1"/>
    <col min="3" max="3" width="19" customWidth="1"/>
    <col min="4" max="4" width="40.5703125" customWidth="1"/>
    <col min="5" max="5" width="17.7109375" customWidth="1"/>
    <col min="6" max="6" width="29.28515625" bestFit="1" customWidth="1"/>
    <col min="7" max="9" width="19.140625" bestFit="1" customWidth="1"/>
    <col min="10" max="10" width="16" customWidth="1"/>
    <col min="31" max="35" width="9.140625" style="175"/>
  </cols>
  <sheetData>
    <row r="5" spans="1:36" s="266" customFormat="1" ht="18.75" x14ac:dyDescent="0.3">
      <c r="A5" s="265">
        <v>1</v>
      </c>
      <c r="B5" s="265" t="s">
        <v>1100</v>
      </c>
      <c r="AE5" s="457"/>
      <c r="AF5" s="457"/>
      <c r="AG5" s="457"/>
      <c r="AH5" s="457"/>
      <c r="AI5" s="457"/>
    </row>
    <row r="7" spans="1:36" x14ac:dyDescent="0.25">
      <c r="B7" s="5" t="s">
        <v>1106</v>
      </c>
      <c r="E7" s="260">
        <f>Map!AD6</f>
        <v>0</v>
      </c>
      <c r="G7" s="280" t="s">
        <v>1186</v>
      </c>
      <c r="H7" s="247"/>
      <c r="I7" s="247"/>
    </row>
    <row r="8" spans="1:36" x14ac:dyDescent="0.25">
      <c r="B8" s="5"/>
      <c r="C8" t="s">
        <v>1398</v>
      </c>
    </row>
    <row r="9" spans="1:36" x14ac:dyDescent="0.25">
      <c r="B9" s="259" t="s">
        <v>1101</v>
      </c>
      <c r="C9" s="259" t="s">
        <v>348</v>
      </c>
      <c r="D9" s="259" t="s">
        <v>1104</v>
      </c>
      <c r="E9" s="259" t="s">
        <v>1102</v>
      </c>
      <c r="F9" s="259" t="s">
        <v>1105</v>
      </c>
      <c r="G9" s="259" t="s">
        <v>1103</v>
      </c>
      <c r="H9" s="259" t="s">
        <v>283</v>
      </c>
      <c r="I9" s="259" t="s">
        <v>1108</v>
      </c>
      <c r="J9" s="259" t="s">
        <v>2626</v>
      </c>
    </row>
    <row r="10" spans="1:36" x14ac:dyDescent="0.25">
      <c r="B10" s="256">
        <v>1</v>
      </c>
      <c r="C10" s="295" t="str">
        <f>Map!AD7</f>
        <v/>
      </c>
      <c r="D10" t="str">
        <f>IFERROR(VLOOKUP(C10,'11.OperationClass - Factors'!$A$5:$E$43,2,FALSE),"")</f>
        <v/>
      </c>
      <c r="E10" s="260">
        <f>Map!AD8</f>
        <v>0</v>
      </c>
      <c r="F10" t="str">
        <f>IF(D10="","",IF($E$7=1000000,VLOOKUP(C10,'11.OperationClass - Factors'!$A$5:$E$43,3,FALSE),IF($E$7=2000000,VLOOKUP(C10,'11.OperationClass - Factors'!$A$5:$E$43,4,FALSE),"N/A")))</f>
        <v/>
      </c>
      <c r="G10" s="100" t="str">
        <f>IFERROR(E10/1000*F10,"")</f>
        <v/>
      </c>
      <c r="H10" s="100" t="str">
        <f>IFERROR(VLOOKUP(C10,'11.OperationClass - Factors'!$A$5:$G$43,6,FALSE),"")</f>
        <v/>
      </c>
      <c r="I10" s="100" t="str">
        <f>IFERROR(VLOOKUP(C10,'11.OperationClass - Factors'!$A$5:$G$43,7,FALSE),"")</f>
        <v/>
      </c>
      <c r="J10" s="100" t="str">
        <f>IFERROR(VLOOKUP(C10,'11.OperationClass - Factors'!$A$5:$H$43,8,FALSE),"")</f>
        <v/>
      </c>
    </row>
    <row r="11" spans="1:36" x14ac:dyDescent="0.25">
      <c r="B11" s="256">
        <v>2</v>
      </c>
      <c r="C11" s="295" t="str">
        <f>Map!AD9</f>
        <v/>
      </c>
      <c r="D11" t="str">
        <f>IFERROR(VLOOKUP(C11,'11.OperationClass - Factors'!$A$5:$E$43,2,FALSE),"")</f>
        <v/>
      </c>
      <c r="E11" s="260">
        <f>Map!AD10</f>
        <v>0</v>
      </c>
      <c r="F11" t="str">
        <f>IF(D11="","",IF($E$7=1000000,VLOOKUP(C11,'11.OperationClass - Factors'!$A$5:$E$43,3,FALSE),IF($E$7=2000000,VLOOKUP(C11,'11.OperationClass - Factors'!$A$5:$E$43,4,FALSE),"N/A")))</f>
        <v/>
      </c>
      <c r="G11" s="100" t="str">
        <f t="shared" ref="G11:G13" si="0">IFERROR(E11/1000*F11,"")</f>
        <v/>
      </c>
      <c r="H11" s="100" t="str">
        <f>IFERROR(VLOOKUP(C11,'11.OperationClass - Factors'!$A$5:$G$43,6,FALSE),"")</f>
        <v/>
      </c>
      <c r="I11" s="100" t="str">
        <f>IFERROR(VLOOKUP(C11,'11.OperationClass - Factors'!$A$5:$G$43,7,FALSE),"")</f>
        <v/>
      </c>
      <c r="J11" s="100" t="str">
        <f>IFERROR(VLOOKUP(C11,'11.OperationClass - Factors'!$A$5:$H$43,8,FALSE),"")</f>
        <v/>
      </c>
    </row>
    <row r="12" spans="1:36" x14ac:dyDescent="0.25">
      <c r="B12" s="256">
        <v>3</v>
      </c>
      <c r="C12" s="295" t="str">
        <f>Map!AD11</f>
        <v/>
      </c>
      <c r="D12" t="str">
        <f>IFERROR(VLOOKUP(C12,'11.OperationClass - Factors'!$A$5:$E$43,2,FALSE),"")</f>
        <v/>
      </c>
      <c r="E12" s="260">
        <f>Map!AD12</f>
        <v>0</v>
      </c>
      <c r="F12" t="str">
        <f>IF(D12="","",IF($E$7=1000000,VLOOKUP(C12,'11.OperationClass - Factors'!$A$5:$E$43,3,FALSE),IF($E$7=2000000,VLOOKUP(C12,'11.OperationClass - Factors'!$A$5:$E$43,4,FALSE),"N/A")))</f>
        <v/>
      </c>
      <c r="G12" s="100" t="str">
        <f t="shared" si="0"/>
        <v/>
      </c>
      <c r="H12" s="100" t="str">
        <f>IFERROR(VLOOKUP(C12,'11.OperationClass - Factors'!$A$5:$G$43,6,FALSE),"")</f>
        <v/>
      </c>
      <c r="I12" s="100" t="str">
        <f>IFERROR(VLOOKUP(C12,'11.OperationClass - Factors'!$A$5:$G$43,7,FALSE),"")</f>
        <v/>
      </c>
      <c r="J12" s="100" t="str">
        <f>IFERROR(VLOOKUP(C12,'11.OperationClass - Factors'!$A$5:$H$43,8,FALSE),"")</f>
        <v/>
      </c>
    </row>
    <row r="13" spans="1:36" x14ac:dyDescent="0.25">
      <c r="B13" s="256">
        <v>4</v>
      </c>
      <c r="C13" s="295" t="str">
        <f>Map!AD13</f>
        <v/>
      </c>
      <c r="D13" t="str">
        <f>IFERROR(VLOOKUP(C13,'11.OperationClass - Factors'!$A$5:$E$43,2,FALSE),"")</f>
        <v/>
      </c>
      <c r="E13" s="260">
        <f>Map!AD14</f>
        <v>0</v>
      </c>
      <c r="F13" t="str">
        <f>IF(D13="","",IF($E$7=1000000,VLOOKUP(C13,'11.OperationClass - Factors'!$A$5:$E$43,3,FALSE),IF($E$7=2000000,VLOOKUP(C13,'11.OperationClass - Factors'!$A$5:$E$43,4,FALSE),"N/A")))</f>
        <v/>
      </c>
      <c r="G13" s="100" t="str">
        <f t="shared" si="0"/>
        <v/>
      </c>
      <c r="H13" s="100" t="str">
        <f>IFERROR(VLOOKUP(C13,'11.OperationClass - Factors'!$A$5:$G$43,6,FALSE),"")</f>
        <v/>
      </c>
      <c r="I13" s="100" t="str">
        <f>IFERROR(VLOOKUP(C13,'11.OperationClass - Factors'!$A$5:$G$43,7,FALSE),"")</f>
        <v/>
      </c>
      <c r="J13" s="100" t="str">
        <f>IFERROR(VLOOKUP(C13,'11.OperationClass - Factors'!$A$5:$H$43,8,FALSE),"")</f>
        <v/>
      </c>
      <c r="AJ13" t="str">
        <f t="shared" ref="AJ13:AJ44" si="1">IF($AJ$7="Quote",IFERROR(VLOOKUP(AI13,$AF$7:$AG$240,2,FALSE),"Not included"),"")</f>
        <v/>
      </c>
    </row>
    <row r="14" spans="1:36" x14ac:dyDescent="0.25">
      <c r="B14" s="256">
        <v>5</v>
      </c>
      <c r="C14" s="295" t="str">
        <f>Map!AD15</f>
        <v/>
      </c>
      <c r="D14" t="str">
        <f>IFERROR(VLOOKUP(C14,'11.OperationClass - Factors'!$A$5:$E$43,2,FALSE),"")</f>
        <v/>
      </c>
      <c r="E14" s="260">
        <f>Map!AD16</f>
        <v>0</v>
      </c>
      <c r="F14" t="str">
        <f>IF(D14="","",IF($E$7=1000000,VLOOKUP(C14,'11.OperationClass - Factors'!$A$5:$E$43,3,FALSE),IF($E$7=2000000,VLOOKUP(C14,'11.OperationClass - Factors'!$A$5:$E$43,4,FALSE),"N/A")))</f>
        <v/>
      </c>
      <c r="G14" s="100" t="str">
        <f t="shared" ref="G14:G19" si="2">IFERROR(E14/1000*F14,"")</f>
        <v/>
      </c>
      <c r="H14" s="100" t="str">
        <f>IFERROR(VLOOKUP(C14,'11.OperationClass - Factors'!$A$5:$G$43,6,FALSE),"")</f>
        <v/>
      </c>
      <c r="I14" s="100" t="str">
        <f>IFERROR(VLOOKUP(C14,'11.OperationClass - Factors'!$A$5:$G$43,7,FALSE),"")</f>
        <v/>
      </c>
      <c r="J14" s="100" t="str">
        <f>IFERROR(VLOOKUP(C14,'11.OperationClass - Factors'!$A$5:$H$43,8,FALSE),"")</f>
        <v/>
      </c>
      <c r="AJ14" t="str">
        <f t="shared" si="1"/>
        <v/>
      </c>
    </row>
    <row r="15" spans="1:36" x14ac:dyDescent="0.25">
      <c r="B15" s="256">
        <v>6</v>
      </c>
      <c r="C15" s="295" t="str">
        <f>Map!AD17</f>
        <v/>
      </c>
      <c r="D15" t="str">
        <f>IFERROR(VLOOKUP(C15,'11.OperationClass - Factors'!$A$5:$E$43,2,FALSE),"")</f>
        <v/>
      </c>
      <c r="E15" s="260">
        <f>Map!AD18</f>
        <v>0</v>
      </c>
      <c r="F15" t="str">
        <f>IF(D15="","",IF($E$7=1000000,VLOOKUP(C15,'11.OperationClass - Factors'!$A$5:$E$43,3,FALSE),IF($E$7=2000000,VLOOKUP(C15,'11.OperationClass - Factors'!$A$5:$E$43,4,FALSE),"N/A")))</f>
        <v/>
      </c>
      <c r="G15" s="100" t="str">
        <f t="shared" si="2"/>
        <v/>
      </c>
      <c r="H15" s="100" t="str">
        <f>IFERROR(VLOOKUP(C15,'11.OperationClass - Factors'!$A$5:$G$43,6,FALSE),"")</f>
        <v/>
      </c>
      <c r="I15" s="100" t="str">
        <f>IFERROR(VLOOKUP(C15,'11.OperationClass - Factors'!$A$5:$G$43,7,FALSE),"")</f>
        <v/>
      </c>
      <c r="J15" s="100" t="str">
        <f>IFERROR(VLOOKUP(C15,'11.OperationClass - Factors'!$A$5:$H$43,8,FALSE),"")</f>
        <v/>
      </c>
      <c r="AJ15" t="str">
        <f t="shared" si="1"/>
        <v/>
      </c>
    </row>
    <row r="16" spans="1:36" x14ac:dyDescent="0.25">
      <c r="B16" s="256">
        <v>7</v>
      </c>
      <c r="C16" s="295" t="str">
        <f>Map!AD19</f>
        <v/>
      </c>
      <c r="D16" t="str">
        <f>IFERROR(VLOOKUP(C16,'11.OperationClass - Factors'!$A$5:$E$43,2,FALSE),"")</f>
        <v/>
      </c>
      <c r="E16" s="260">
        <f>Map!AD20</f>
        <v>0</v>
      </c>
      <c r="F16" t="str">
        <f>IF(D16="","",IF($E$7=1000000,VLOOKUP(C16,'11.OperationClass - Factors'!$A$5:$E$43,3,FALSE),IF($E$7=2000000,VLOOKUP(C16,'11.OperationClass - Factors'!$A$5:$E$43,4,FALSE),"N/A")))</f>
        <v/>
      </c>
      <c r="G16" s="100" t="str">
        <f t="shared" si="2"/>
        <v/>
      </c>
      <c r="H16" s="100" t="str">
        <f>IFERROR(VLOOKUP(C16,'11.OperationClass - Factors'!$A$5:$G$43,6,FALSE),"")</f>
        <v/>
      </c>
      <c r="I16" s="100" t="str">
        <f>IFERROR(VLOOKUP(C16,'11.OperationClass - Factors'!$A$5:$G$43,7,FALSE),"")</f>
        <v/>
      </c>
      <c r="J16" s="100" t="str">
        <f>IFERROR(VLOOKUP(C16,'11.OperationClass - Factors'!$A$5:$H$43,8,FALSE),"")</f>
        <v/>
      </c>
      <c r="AJ16" t="str">
        <f t="shared" si="1"/>
        <v/>
      </c>
    </row>
    <row r="17" spans="1:36" x14ac:dyDescent="0.25">
      <c r="B17" s="256">
        <v>8</v>
      </c>
      <c r="C17" s="295" t="str">
        <f>Map!AD21</f>
        <v/>
      </c>
      <c r="D17" t="str">
        <f>IFERROR(VLOOKUP(C17,'11.OperationClass - Factors'!$A$5:$E$43,2,FALSE),"")</f>
        <v/>
      </c>
      <c r="E17" s="260">
        <f>Map!AD22</f>
        <v>0</v>
      </c>
      <c r="F17" t="str">
        <f>IF(D17="","",IF($E$7=1000000,VLOOKUP(C17,'11.OperationClass - Factors'!$A$5:$E$43,3,FALSE),IF($E$7=2000000,VLOOKUP(C17,'11.OperationClass - Factors'!$A$5:$E$43,4,FALSE),"N/A")))</f>
        <v/>
      </c>
      <c r="G17" s="100" t="str">
        <f t="shared" si="2"/>
        <v/>
      </c>
      <c r="H17" s="100" t="str">
        <f>IFERROR(VLOOKUP(C17,'11.OperationClass - Factors'!$A$5:$G$43,6,FALSE),"")</f>
        <v/>
      </c>
      <c r="I17" s="100" t="str">
        <f>IFERROR(VLOOKUP(C17,'11.OperationClass - Factors'!$A$5:$G$43,7,FALSE),"")</f>
        <v/>
      </c>
      <c r="J17" s="100" t="str">
        <f>IFERROR(VLOOKUP(C17,'11.OperationClass - Factors'!$A$5:$H$43,8,FALSE),"")</f>
        <v/>
      </c>
      <c r="AJ17" t="str">
        <f t="shared" si="1"/>
        <v/>
      </c>
    </row>
    <row r="18" spans="1:36" x14ac:dyDescent="0.25">
      <c r="B18" s="256">
        <v>9</v>
      </c>
      <c r="C18" s="295" t="str">
        <f>Map!AD23</f>
        <v/>
      </c>
      <c r="D18" t="str">
        <f>IFERROR(VLOOKUP(C18,'11.OperationClass - Factors'!$A$5:$E$43,2,FALSE),"")</f>
        <v/>
      </c>
      <c r="E18" s="260">
        <f>Map!AD24</f>
        <v>0</v>
      </c>
      <c r="F18" t="str">
        <f>IF(D18="","",IF($E$7=1000000,VLOOKUP(C18,'11.OperationClass - Factors'!$A$5:$E$43,3,FALSE),IF($E$7=2000000,VLOOKUP(C18,'11.OperationClass - Factors'!$A$5:$E$43,4,FALSE),"N/A")))</f>
        <v/>
      </c>
      <c r="G18" s="100" t="str">
        <f t="shared" si="2"/>
        <v/>
      </c>
      <c r="H18" s="100" t="str">
        <f>IFERROR(VLOOKUP(C18,'11.OperationClass - Factors'!$A$5:$G$43,6,FALSE),"")</f>
        <v/>
      </c>
      <c r="I18" s="100" t="str">
        <f>IFERROR(VLOOKUP(C18,'11.OperationClass - Factors'!$A$5:$G$43,7,FALSE),"")</f>
        <v/>
      </c>
      <c r="J18" s="100" t="str">
        <f>IFERROR(VLOOKUP(C18,'11.OperationClass - Factors'!$A$5:$H$43,8,FALSE),"")</f>
        <v/>
      </c>
      <c r="AJ18" t="str">
        <f t="shared" si="1"/>
        <v/>
      </c>
    </row>
    <row r="19" spans="1:36" ht="15.75" thickBot="1" x14ac:dyDescent="0.3">
      <c r="B19" s="256">
        <v>10</v>
      </c>
      <c r="C19" s="295" t="str">
        <f>Map!AD25</f>
        <v/>
      </c>
      <c r="D19" t="str">
        <f>IFERROR(VLOOKUP(C19,'11.OperationClass - Factors'!$A$5:$E$43,2,FALSE),"")</f>
        <v/>
      </c>
      <c r="E19" s="260">
        <f>Map!AD26</f>
        <v>0</v>
      </c>
      <c r="F19" t="str">
        <f>IF(D19="","",IF($E$7=1000000,VLOOKUP(C19,'11.OperationClass - Factors'!$A$5:$E$43,3,FALSE),IF($E$7=2000000,VLOOKUP(C19,'11.OperationClass - Factors'!$A$5:$E$43,4,FALSE),"N/A")))</f>
        <v/>
      </c>
      <c r="G19" s="100" t="str">
        <f t="shared" si="2"/>
        <v/>
      </c>
      <c r="H19" s="100" t="str">
        <f>IFERROR(VLOOKUP(C19,'11.OperationClass - Factors'!$A$5:$G$43,6,FALSE),"")</f>
        <v/>
      </c>
      <c r="I19" s="100" t="str">
        <f>IFERROR(VLOOKUP(C19,'11.OperationClass - Factors'!$A$5:$G$43,7,FALSE),"")</f>
        <v/>
      </c>
      <c r="J19" s="100" t="str">
        <f>IFERROR(VLOOKUP(C19,'11.OperationClass - Factors'!$A$5:$H$43,8,FALSE),"")</f>
        <v/>
      </c>
      <c r="AJ19" t="str">
        <f t="shared" si="1"/>
        <v/>
      </c>
    </row>
    <row r="20" spans="1:36" x14ac:dyDescent="0.25">
      <c r="B20" s="258" t="s">
        <v>1135</v>
      </c>
      <c r="C20" s="258"/>
      <c r="D20" s="258"/>
      <c r="E20" s="261">
        <f>SUM(E10:E19)</f>
        <v>0</v>
      </c>
      <c r="F20" s="258"/>
      <c r="G20" s="262">
        <f>SUM(G10:G19)</f>
        <v>0</v>
      </c>
      <c r="H20" s="262"/>
      <c r="I20" s="262"/>
      <c r="J20" s="262"/>
      <c r="AJ20" t="str">
        <f t="shared" si="1"/>
        <v/>
      </c>
    </row>
    <row r="21" spans="1:36" x14ac:dyDescent="0.25">
      <c r="B21" t="s">
        <v>40</v>
      </c>
      <c r="G21" s="263" t="str">
        <f>IF(E7=1000000,575,IF(E7=2000000,625,"N/A"))</f>
        <v>N/A</v>
      </c>
      <c r="H21" s="263"/>
      <c r="I21" s="263"/>
      <c r="AJ21" t="str">
        <f t="shared" si="1"/>
        <v/>
      </c>
    </row>
    <row r="22" spans="1:36" x14ac:dyDescent="0.25">
      <c r="B22" t="s">
        <v>1107</v>
      </c>
      <c r="G22" s="274" t="str">
        <f>IF(G21="N/A","N/A",MAX(G20:G21))</f>
        <v>N/A</v>
      </c>
      <c r="H22" s="263"/>
      <c r="I22" s="263"/>
      <c r="AJ22" t="str">
        <f t="shared" si="1"/>
        <v/>
      </c>
    </row>
    <row r="23" spans="1:36" x14ac:dyDescent="0.25">
      <c r="B23" t="s">
        <v>1110</v>
      </c>
      <c r="G23" s="100">
        <f>MAX(H10:H19,500)</f>
        <v>500</v>
      </c>
      <c r="H23" s="100"/>
      <c r="I23" s="100"/>
      <c r="AJ23" t="str">
        <f t="shared" si="1"/>
        <v/>
      </c>
    </row>
    <row r="24" spans="1:36" x14ac:dyDescent="0.25">
      <c r="B24" t="s">
        <v>1109</v>
      </c>
      <c r="G24" s="257" t="str">
        <f>IF(SUM($I$10:$I$19)&gt;0,"Yes","No")</f>
        <v>No</v>
      </c>
      <c r="AJ24" t="str">
        <f t="shared" si="1"/>
        <v/>
      </c>
    </row>
    <row r="25" spans="1:36" x14ac:dyDescent="0.25">
      <c r="B25" t="s">
        <v>2629</v>
      </c>
      <c r="G25" t="str">
        <f>IF(G24="Yes","No more than 20% of total receipts can be derived from work at commercial premises","")</f>
        <v/>
      </c>
      <c r="AJ25" t="str">
        <f t="shared" si="1"/>
        <v/>
      </c>
    </row>
    <row r="26" spans="1:36" x14ac:dyDescent="0.25">
      <c r="B26" t="s">
        <v>2627</v>
      </c>
      <c r="G26" s="257" t="str">
        <f>IF(SUM($J$10:$J$19)&gt;0,"Yes","No")</f>
        <v>No</v>
      </c>
      <c r="AJ26" t="str">
        <f t="shared" si="1"/>
        <v/>
      </c>
    </row>
    <row r="27" spans="1:36" x14ac:dyDescent="0.25">
      <c r="B27" t="s">
        <v>2628</v>
      </c>
      <c r="G27" t="str">
        <f>IF(G26="Yes","Comp 3D with 3rd party","")</f>
        <v/>
      </c>
      <c r="AJ27" t="str">
        <f t="shared" si="1"/>
        <v/>
      </c>
    </row>
    <row r="28" spans="1:36" x14ac:dyDescent="0.25">
      <c r="AJ28" t="str">
        <f t="shared" si="1"/>
        <v/>
      </c>
    </row>
    <row r="29" spans="1:36" s="266" customFormat="1" ht="18.75" x14ac:dyDescent="0.3">
      <c r="A29" s="265">
        <v>2</v>
      </c>
      <c r="B29" s="265" t="s">
        <v>1111</v>
      </c>
      <c r="AE29" s="175"/>
      <c r="AF29" s="175"/>
      <c r="AG29" s="175"/>
      <c r="AH29" s="457"/>
      <c r="AI29" s="457"/>
      <c r="AJ29" s="266" t="str">
        <f t="shared" si="1"/>
        <v/>
      </c>
    </row>
    <row r="30" spans="1:36" ht="18.75" x14ac:dyDescent="0.3">
      <c r="AE30" s="457"/>
      <c r="AF30" s="457"/>
      <c r="AG30" s="457"/>
      <c r="AJ30" t="str">
        <f t="shared" si="1"/>
        <v/>
      </c>
    </row>
    <row r="31" spans="1:36" ht="18.75" x14ac:dyDescent="0.3">
      <c r="B31" t="s">
        <v>1112</v>
      </c>
      <c r="D31" s="149" t="str">
        <f>Map!AD27</f>
        <v>Class C</v>
      </c>
      <c r="F31" t="s">
        <v>1119</v>
      </c>
      <c r="G31" s="149">
        <f>Map!AD29</f>
        <v>0</v>
      </c>
      <c r="AI31" s="457"/>
      <c r="AJ31" t="str">
        <f t="shared" si="1"/>
        <v/>
      </c>
    </row>
    <row r="32" spans="1:36" x14ac:dyDescent="0.25">
      <c r="B32" t="s">
        <v>1123</v>
      </c>
      <c r="D32" s="149">
        <f>Map!AD28</f>
        <v>3</v>
      </c>
      <c r="F32" t="s">
        <v>1120</v>
      </c>
      <c r="G32" s="149">
        <f>Map!AD30</f>
        <v>0</v>
      </c>
      <c r="H32" s="280" t="s">
        <v>1312</v>
      </c>
      <c r="I32" s="280"/>
      <c r="J32" s="280"/>
      <c r="K32" s="280"/>
      <c r="L32" s="280"/>
      <c r="AJ32" t="str">
        <f t="shared" si="1"/>
        <v/>
      </c>
    </row>
    <row r="33" spans="2:36" s="175" customFormat="1" x14ac:dyDescent="0.25">
      <c r="F33" s="175" t="s">
        <v>1313</v>
      </c>
      <c r="G33" s="175">
        <f>IF(G32&lt;5000,5000,G32)</f>
        <v>5000</v>
      </c>
      <c r="H33" s="300"/>
      <c r="I33" s="300"/>
      <c r="J33" s="300"/>
      <c r="K33" s="300"/>
      <c r="L33" s="300"/>
      <c r="AJ33" s="175" t="str">
        <f t="shared" si="1"/>
        <v/>
      </c>
    </row>
    <row r="34" spans="2:36" x14ac:dyDescent="0.25">
      <c r="AJ34" t="str">
        <f t="shared" si="1"/>
        <v/>
      </c>
    </row>
    <row r="35" spans="2:36" ht="15.75" thickBot="1" x14ac:dyDescent="0.3">
      <c r="B35" s="268"/>
      <c r="C35" s="268" t="s">
        <v>1121</v>
      </c>
      <c r="D35" s="268" t="s">
        <v>1122</v>
      </c>
      <c r="E35" s="268"/>
      <c r="F35" s="268" t="s">
        <v>1103</v>
      </c>
      <c r="AJ35" t="str">
        <f t="shared" si="1"/>
        <v/>
      </c>
    </row>
    <row r="36" spans="2:36" x14ac:dyDescent="0.25">
      <c r="B36" t="s">
        <v>201</v>
      </c>
      <c r="C36" s="100">
        <f>G31</f>
        <v>0</v>
      </c>
      <c r="D36">
        <f>IF(D32=1,VLOOKUP(D31,'13.CommercialPKG - Factors'!$C$38:$E$40,2,FALSE),IF(Calculator!D32=2,VLOOKUP(Calculator!$D$31,'13.CommercialPKG - Factors'!$C$41:$E$43,2,FALSE),IF(Calculator!D32=3,VLOOKUP(Calculator!$D$31,'13.CommercialPKG - Factors'!$C$44:$E$46,2,FALSE),"N/A")))</f>
        <v>1.4</v>
      </c>
      <c r="F36" s="100">
        <f>IFERROR(C36/100*D36,"")</f>
        <v>0</v>
      </c>
      <c r="I36" t="s">
        <v>3604</v>
      </c>
      <c r="J36" t="s">
        <v>3605</v>
      </c>
      <c r="K36" t="s">
        <v>3606</v>
      </c>
      <c r="AJ36" t="str">
        <f t="shared" si="1"/>
        <v/>
      </c>
    </row>
    <row r="37" spans="2:36" x14ac:dyDescent="0.25">
      <c r="B37" t="s">
        <v>202</v>
      </c>
      <c r="C37" s="100">
        <f>IF((G32-5000)&lt;0,0,G32-5000)</f>
        <v>0</v>
      </c>
      <c r="D37">
        <f>IF(D32=1,VLOOKUP(D31,'13.CommercialPKG - Factors'!$C$38:$E$40,3,FALSE),IF(Calculator!D32=2,VLOOKUP(Calculator!$D$31,'13.CommercialPKG - Factors'!$C$41:$E$43,3,FALSE),IF(Calculator!D32=3,VLOOKUP(Calculator!$D$31,'13.CommercialPKG - Factors'!$C$44:$E$46,3,FALSE),"N/A")))</f>
        <v>1.6</v>
      </c>
      <c r="F37" s="100">
        <f>IFERROR(C37/100*D37,"")</f>
        <v>0</v>
      </c>
      <c r="H37" t="s">
        <v>202</v>
      </c>
      <c r="I37">
        <f>Map!C92</f>
        <v>0</v>
      </c>
      <c r="J37">
        <f>IF($I$41=0,$G$33,IF($G$33=$I$41,I37,(I37+K37)))</f>
        <v>5000</v>
      </c>
      <c r="K37">
        <f>G33-I41</f>
        <v>5000</v>
      </c>
      <c r="AJ37" t="str">
        <f t="shared" si="1"/>
        <v/>
      </c>
    </row>
    <row r="38" spans="2:36" x14ac:dyDescent="0.25">
      <c r="F38" s="100"/>
      <c r="H38" t="s">
        <v>1217</v>
      </c>
      <c r="AJ38" t="str">
        <f t="shared" si="1"/>
        <v/>
      </c>
    </row>
    <row r="39" spans="2:36" ht="15.75" thickBot="1" x14ac:dyDescent="0.3">
      <c r="F39" s="100"/>
      <c r="H39" t="s">
        <v>3600</v>
      </c>
      <c r="I39">
        <f>Map!C94</f>
        <v>0</v>
      </c>
      <c r="J39">
        <f>IF(I41=0,0,IF($G$33=$I$41,I39,(I39)))</f>
        <v>0</v>
      </c>
      <c r="AJ39" t="str">
        <f t="shared" si="1"/>
        <v/>
      </c>
    </row>
    <row r="40" spans="2:36" ht="15.75" thickTop="1" x14ac:dyDescent="0.25">
      <c r="B40" s="267" t="s">
        <v>1124</v>
      </c>
      <c r="C40" s="272">
        <f>SUM(C36:C39)</f>
        <v>0</v>
      </c>
      <c r="D40" s="267"/>
      <c r="E40" s="267"/>
      <c r="F40" s="272">
        <f>SUM(F36:F39)</f>
        <v>0</v>
      </c>
      <c r="H40" t="s">
        <v>3601</v>
      </c>
      <c r="I40">
        <f>Map!C95</f>
        <v>0</v>
      </c>
      <c r="J40">
        <f>IF(I41=0,0,IF($G$33=$I$41,I40,(I40)))</f>
        <v>0</v>
      </c>
      <c r="AJ40" t="str">
        <f t="shared" si="1"/>
        <v/>
      </c>
    </row>
    <row r="41" spans="2:36" x14ac:dyDescent="0.25">
      <c r="H41" t="s">
        <v>3603</v>
      </c>
      <c r="I41">
        <f>SUM(I37:I40)</f>
        <v>0</v>
      </c>
      <c r="J41">
        <f>SUM(J37:J40)</f>
        <v>5000</v>
      </c>
      <c r="AJ41" t="str">
        <f t="shared" si="1"/>
        <v/>
      </c>
    </row>
    <row r="42" spans="2:36" ht="15.75" thickBot="1" x14ac:dyDescent="0.3">
      <c r="B42" s="268" t="s">
        <v>1125</v>
      </c>
      <c r="C42" s="268"/>
      <c r="D42" s="268" t="s">
        <v>1011</v>
      </c>
      <c r="E42" s="268" t="s">
        <v>1126</v>
      </c>
      <c r="F42" s="268" t="s">
        <v>1127</v>
      </c>
      <c r="AJ42" t="str">
        <f t="shared" si="1"/>
        <v/>
      </c>
    </row>
    <row r="43" spans="2:36" x14ac:dyDescent="0.25">
      <c r="B43" t="s">
        <v>1113</v>
      </c>
      <c r="D43" s="246" t="str">
        <f>Map!AD31</f>
        <v>No</v>
      </c>
      <c r="E43" s="269">
        <v>0.05</v>
      </c>
      <c r="F43" s="270">
        <f>IF(D43="Yes",E43,0%)</f>
        <v>0</v>
      </c>
      <c r="AJ43" t="str">
        <f t="shared" si="1"/>
        <v/>
      </c>
    </row>
    <row r="44" spans="2:36" x14ac:dyDescent="0.25">
      <c r="B44" t="s">
        <v>1115</v>
      </c>
      <c r="D44" s="246" t="str">
        <f>Map!AD32</f>
        <v>No</v>
      </c>
      <c r="E44" s="269">
        <v>0.05</v>
      </c>
      <c r="F44" s="270">
        <f t="shared" ref="F44:F46" si="3">IF(D44="Yes",E44,0%)</f>
        <v>0</v>
      </c>
      <c r="AJ44" t="str">
        <f t="shared" si="1"/>
        <v/>
      </c>
    </row>
    <row r="45" spans="2:36" x14ac:dyDescent="0.25">
      <c r="B45" t="s">
        <v>1116</v>
      </c>
      <c r="D45" s="246" t="str">
        <f>Map!AD33</f>
        <v>No</v>
      </c>
      <c r="E45" s="269">
        <v>0.05</v>
      </c>
      <c r="F45" s="270">
        <f t="shared" si="3"/>
        <v>0</v>
      </c>
      <c r="AJ45" t="str">
        <f t="shared" ref="AJ45:AJ76" si="4">IF($AJ$7="Quote",IFERROR(VLOOKUP(AI45,$AF$7:$AG$240,2,FALSE),"Not included"),"")</f>
        <v/>
      </c>
    </row>
    <row r="46" spans="2:36" x14ac:dyDescent="0.25">
      <c r="B46" t="s">
        <v>1193</v>
      </c>
      <c r="D46" s="246" t="str">
        <f>Map!AD34</f>
        <v>No</v>
      </c>
      <c r="E46" s="269">
        <v>0.1</v>
      </c>
      <c r="F46" s="270">
        <f t="shared" si="3"/>
        <v>0</v>
      </c>
      <c r="AJ46" t="str">
        <f t="shared" si="4"/>
        <v/>
      </c>
    </row>
    <row r="47" spans="2:36" x14ac:dyDescent="0.25">
      <c r="B47" t="s">
        <v>1117</v>
      </c>
      <c r="D47" s="246" t="str">
        <f>Map!AD35</f>
        <v>No</v>
      </c>
      <c r="E47" s="270">
        <v>0</v>
      </c>
      <c r="F47" s="270">
        <f>IF(D47="Yes",E47,0%)</f>
        <v>0</v>
      </c>
      <c r="AJ47" t="str">
        <f t="shared" si="4"/>
        <v/>
      </c>
    </row>
    <row r="48" spans="2:36" x14ac:dyDescent="0.25">
      <c r="B48" t="s">
        <v>283</v>
      </c>
      <c r="D48" s="246">
        <f>Map!AD36</f>
        <v>500</v>
      </c>
      <c r="E48" s="270">
        <f>IF(D48=1000,5%,IF(D48=2500,12%,0%))</f>
        <v>0</v>
      </c>
      <c r="F48" s="270">
        <f>E48</f>
        <v>0</v>
      </c>
      <c r="G48" s="280" t="s">
        <v>1194</v>
      </c>
      <c r="H48" s="247"/>
      <c r="I48" s="247"/>
      <c r="AJ48" t="str">
        <f t="shared" si="4"/>
        <v/>
      </c>
    </row>
    <row r="49" spans="1:36" ht="15.75" thickBot="1" x14ac:dyDescent="0.3">
      <c r="B49" t="s">
        <v>1118</v>
      </c>
      <c r="D49" s="246">
        <f>Map!AD37</f>
        <v>0</v>
      </c>
      <c r="E49" s="270">
        <v>-1</v>
      </c>
      <c r="F49" s="270">
        <f>IF(D49="Yes",E49,0%)</f>
        <v>0</v>
      </c>
      <c r="AJ49" t="str">
        <f t="shared" si="4"/>
        <v/>
      </c>
    </row>
    <row r="50" spans="1:36" ht="15.75" thickTop="1" x14ac:dyDescent="0.25">
      <c r="B50" s="267" t="s">
        <v>1128</v>
      </c>
      <c r="C50" s="267"/>
      <c r="D50" s="267"/>
      <c r="E50" s="267"/>
      <c r="F50" s="271">
        <f>SUM(F43:F49)</f>
        <v>0</v>
      </c>
      <c r="AJ50" t="str">
        <f t="shared" si="4"/>
        <v/>
      </c>
    </row>
    <row r="51" spans="1:36" x14ac:dyDescent="0.25">
      <c r="AJ51" t="str">
        <f t="shared" si="4"/>
        <v/>
      </c>
    </row>
    <row r="52" spans="1:36" x14ac:dyDescent="0.25">
      <c r="B52" t="s">
        <v>1129</v>
      </c>
      <c r="F52" s="275">
        <f>F40-F40*F50</f>
        <v>0</v>
      </c>
      <c r="AJ52" t="str">
        <f t="shared" si="4"/>
        <v/>
      </c>
    </row>
    <row r="53" spans="1:36" x14ac:dyDescent="0.25">
      <c r="AJ53" t="str">
        <f t="shared" si="4"/>
        <v/>
      </c>
    </row>
    <row r="54" spans="1:36" x14ac:dyDescent="0.25">
      <c r="AJ54" t="str">
        <f t="shared" si="4"/>
        <v/>
      </c>
    </row>
    <row r="55" spans="1:36" s="266" customFormat="1" ht="18.75" x14ac:dyDescent="0.3">
      <c r="A55" s="265">
        <v>3</v>
      </c>
      <c r="B55" s="265" t="s">
        <v>1130</v>
      </c>
      <c r="AE55" s="175"/>
      <c r="AF55" s="175"/>
      <c r="AG55" s="175"/>
      <c r="AH55" s="457"/>
      <c r="AI55" s="175"/>
      <c r="AJ55" s="266" t="str">
        <f t="shared" si="4"/>
        <v/>
      </c>
    </row>
    <row r="56" spans="1:36" ht="18.75" x14ac:dyDescent="0.3">
      <c r="AE56" s="457"/>
      <c r="AF56" s="457"/>
      <c r="AG56" s="457"/>
      <c r="AJ56" t="str">
        <f t="shared" si="4"/>
        <v/>
      </c>
    </row>
    <row r="57" spans="1:36" x14ac:dyDescent="0.25">
      <c r="B57" t="s">
        <v>1131</v>
      </c>
      <c r="D57" s="149">
        <f>Map!AD38</f>
        <v>0</v>
      </c>
      <c r="F57" t="s">
        <v>1134</v>
      </c>
      <c r="G57">
        <v>3.6</v>
      </c>
      <c r="AJ57" t="str">
        <f t="shared" si="4"/>
        <v/>
      </c>
    </row>
    <row r="58" spans="1:36" ht="18.75" x14ac:dyDescent="0.3">
      <c r="B58" t="s">
        <v>1132</v>
      </c>
      <c r="D58" s="252">
        <f>Map!AD39</f>
        <v>0</v>
      </c>
      <c r="F58" t="s">
        <v>1133</v>
      </c>
      <c r="G58">
        <v>5</v>
      </c>
      <c r="AI58" s="457"/>
      <c r="AJ58" t="str">
        <f t="shared" si="4"/>
        <v/>
      </c>
    </row>
    <row r="59" spans="1:36" x14ac:dyDescent="0.25">
      <c r="AJ59" t="str">
        <f t="shared" si="4"/>
        <v/>
      </c>
    </row>
    <row r="60" spans="1:36" ht="15.75" thickBot="1" x14ac:dyDescent="0.3">
      <c r="B60" s="268"/>
      <c r="C60" s="268" t="s">
        <v>1121</v>
      </c>
      <c r="D60" s="268" t="s">
        <v>1122</v>
      </c>
      <c r="E60" s="268"/>
      <c r="F60" s="268" t="s">
        <v>1103</v>
      </c>
      <c r="AJ60" t="str">
        <f t="shared" si="4"/>
        <v/>
      </c>
    </row>
    <row r="61" spans="1:36" ht="15.75" thickBot="1" x14ac:dyDescent="0.3">
      <c r="B61" t="s">
        <v>1136</v>
      </c>
      <c r="C61">
        <f>D57</f>
        <v>0</v>
      </c>
      <c r="D61">
        <f>IF(D58="None",G58,IF(D58=80%,G57,G58))</f>
        <v>5</v>
      </c>
      <c r="F61">
        <f>IFERROR(C61/100*D61,"")</f>
        <v>0</v>
      </c>
      <c r="AJ61" t="str">
        <f t="shared" si="4"/>
        <v/>
      </c>
    </row>
    <row r="62" spans="1:36" ht="15.75" thickTop="1" x14ac:dyDescent="0.25">
      <c r="B62" s="267" t="s">
        <v>40</v>
      </c>
      <c r="C62" s="267"/>
      <c r="D62" s="267"/>
      <c r="E62" s="267"/>
      <c r="F62" s="267">
        <f>IF(D57&gt;0,0,0)</f>
        <v>0</v>
      </c>
      <c r="AJ62" t="str">
        <f t="shared" si="4"/>
        <v/>
      </c>
    </row>
    <row r="63" spans="1:36" x14ac:dyDescent="0.25">
      <c r="B63" t="s">
        <v>1138</v>
      </c>
      <c r="F63" s="276">
        <f>MAX(F61:F62)</f>
        <v>0</v>
      </c>
      <c r="AJ63" t="str">
        <f t="shared" si="4"/>
        <v/>
      </c>
    </row>
    <row r="64" spans="1:36" x14ac:dyDescent="0.25">
      <c r="AJ64" t="str">
        <f t="shared" si="4"/>
        <v/>
      </c>
    </row>
    <row r="65" spans="1:36" x14ac:dyDescent="0.25">
      <c r="B65" s="280" t="s">
        <v>3662</v>
      </c>
      <c r="C65" s="280"/>
      <c r="D65" s="280"/>
      <c r="H65" s="175"/>
      <c r="AJ65" t="str">
        <f t="shared" si="4"/>
        <v/>
      </c>
    </row>
    <row r="66" spans="1:36" x14ac:dyDescent="0.25">
      <c r="AJ66" t="str">
        <f t="shared" si="4"/>
        <v/>
      </c>
    </row>
    <row r="67" spans="1:36" s="266" customFormat="1" ht="18.75" x14ac:dyDescent="0.3">
      <c r="A67" s="265">
        <v>4</v>
      </c>
      <c r="B67" s="265" t="s">
        <v>1139</v>
      </c>
      <c r="AE67" s="175"/>
      <c r="AF67" s="175"/>
      <c r="AG67" s="175"/>
      <c r="AH67" s="457"/>
      <c r="AI67" s="175"/>
      <c r="AJ67" s="266" t="str">
        <f t="shared" si="4"/>
        <v/>
      </c>
    </row>
    <row r="68" spans="1:36" ht="18.75" x14ac:dyDescent="0.3">
      <c r="AE68" s="457"/>
      <c r="AF68" s="457"/>
      <c r="AG68" s="457"/>
      <c r="AJ68" t="str">
        <f t="shared" si="4"/>
        <v/>
      </c>
    </row>
    <row r="69" spans="1:36" x14ac:dyDescent="0.25">
      <c r="B69" t="s">
        <v>1143</v>
      </c>
      <c r="D69" s="149">
        <f>Map!AD40</f>
        <v>0</v>
      </c>
      <c r="AJ69" t="str">
        <f t="shared" si="4"/>
        <v/>
      </c>
    </row>
    <row r="70" spans="1:36" x14ac:dyDescent="0.25">
      <c r="AJ70" t="str">
        <f t="shared" si="4"/>
        <v/>
      </c>
    </row>
    <row r="71" spans="1:36" ht="19.5" thickBot="1" x14ac:dyDescent="0.35">
      <c r="B71" s="268"/>
      <c r="C71" s="268" t="s">
        <v>1121</v>
      </c>
      <c r="D71" s="268" t="s">
        <v>1122</v>
      </c>
      <c r="E71" s="268"/>
      <c r="F71" s="268" t="s">
        <v>1103</v>
      </c>
      <c r="AI71" s="457"/>
      <c r="AJ71" t="str">
        <f t="shared" si="4"/>
        <v/>
      </c>
    </row>
    <row r="72" spans="1:36" ht="15.75" thickBot="1" x14ac:dyDescent="0.3">
      <c r="B72" t="s">
        <v>3613</v>
      </c>
      <c r="C72">
        <f>D69</f>
        <v>0</v>
      </c>
      <c r="D72">
        <v>0.9</v>
      </c>
      <c r="F72">
        <f>IFERROR(C72/100*D72,"")</f>
        <v>0</v>
      </c>
      <c r="AJ72" t="str">
        <f t="shared" si="4"/>
        <v/>
      </c>
    </row>
    <row r="73" spans="1:36" ht="15.75" thickTop="1" x14ac:dyDescent="0.25">
      <c r="B73" s="267" t="s">
        <v>40</v>
      </c>
      <c r="C73" s="267"/>
      <c r="D73" s="267"/>
      <c r="E73" s="267"/>
      <c r="F73" s="267">
        <f>IF(D69&gt;0,0,0)</f>
        <v>0</v>
      </c>
      <c r="AJ73" t="str">
        <f t="shared" si="4"/>
        <v/>
      </c>
    </row>
    <row r="74" spans="1:36" x14ac:dyDescent="0.25">
      <c r="B74" t="s">
        <v>1146</v>
      </c>
      <c r="F74" s="276">
        <f>MAX(F72:F73)</f>
        <v>0</v>
      </c>
      <c r="AJ74" t="str">
        <f t="shared" si="4"/>
        <v/>
      </c>
    </row>
    <row r="75" spans="1:36" x14ac:dyDescent="0.25">
      <c r="AJ75" t="str">
        <f t="shared" si="4"/>
        <v/>
      </c>
    </row>
    <row r="76" spans="1:36" x14ac:dyDescent="0.25">
      <c r="B76" s="280" t="s">
        <v>1195</v>
      </c>
      <c r="C76" s="280"/>
      <c r="D76" s="280"/>
      <c r="E76" s="280"/>
      <c r="F76" s="280"/>
      <c r="AJ76" t="str">
        <f t="shared" si="4"/>
        <v/>
      </c>
    </row>
    <row r="77" spans="1:36" x14ac:dyDescent="0.25">
      <c r="AJ77" t="str">
        <f t="shared" ref="AJ77:AJ108" si="5">IF($AJ$7="Quote",IFERROR(VLOOKUP(AI77,$AF$7:$AG$240,2,FALSE),"Not included"),"")</f>
        <v/>
      </c>
    </row>
    <row r="78" spans="1:36" s="266" customFormat="1" ht="18.75" x14ac:dyDescent="0.3">
      <c r="A78" s="265">
        <v>5</v>
      </c>
      <c r="B78" s="265" t="s">
        <v>401</v>
      </c>
      <c r="AE78" s="175"/>
      <c r="AF78" s="175"/>
      <c r="AG78" s="175"/>
      <c r="AH78" s="457"/>
      <c r="AI78" s="175"/>
      <c r="AJ78" s="266" t="str">
        <f t="shared" si="5"/>
        <v/>
      </c>
    </row>
    <row r="79" spans="1:36" ht="18.75" x14ac:dyDescent="0.3">
      <c r="AE79" s="457"/>
      <c r="AF79" s="457"/>
      <c r="AG79" s="457"/>
      <c r="AJ79" t="str">
        <f t="shared" si="5"/>
        <v/>
      </c>
    </row>
    <row r="80" spans="1:36" x14ac:dyDescent="0.25">
      <c r="B80" t="s">
        <v>1145</v>
      </c>
      <c r="D80" s="149">
        <f>Map!AD41</f>
        <v>0</v>
      </c>
      <c r="E80" s="280" t="s">
        <v>1196</v>
      </c>
      <c r="F80" s="280"/>
      <c r="G80" s="280"/>
      <c r="H80" s="280"/>
      <c r="AJ80" t="str">
        <f t="shared" si="5"/>
        <v/>
      </c>
    </row>
    <row r="81" spans="1:36" x14ac:dyDescent="0.25">
      <c r="B81" t="s">
        <v>1358</v>
      </c>
      <c r="D81">
        <f>IF(D80&gt;0,"$10K/location, $50K aggregate",0)</f>
        <v>0</v>
      </c>
      <c r="AJ81" t="str">
        <f t="shared" si="5"/>
        <v/>
      </c>
    </row>
    <row r="82" spans="1:36" x14ac:dyDescent="0.25">
      <c r="B82" t="s">
        <v>2914</v>
      </c>
      <c r="F82" s="276">
        <f>IF(D80&gt;0,150,0)</f>
        <v>0</v>
      </c>
      <c r="AJ82" t="str">
        <f t="shared" si="5"/>
        <v/>
      </c>
    </row>
    <row r="83" spans="1:36" ht="18.75" x14ac:dyDescent="0.3">
      <c r="AI83" s="457"/>
      <c r="AJ83" t="str">
        <f t="shared" si="5"/>
        <v/>
      </c>
    </row>
    <row r="84" spans="1:36" s="266" customFormat="1" ht="18.75" x14ac:dyDescent="0.3">
      <c r="A84" s="265">
        <v>6</v>
      </c>
      <c r="B84" s="265" t="s">
        <v>1149</v>
      </c>
      <c r="AE84" s="175"/>
      <c r="AF84" s="175"/>
      <c r="AG84" s="175"/>
      <c r="AH84" s="457"/>
      <c r="AI84" s="175"/>
      <c r="AJ84" s="266" t="str">
        <f t="shared" si="5"/>
        <v/>
      </c>
    </row>
    <row r="85" spans="1:36" ht="18.75" x14ac:dyDescent="0.3">
      <c r="AE85" s="457"/>
      <c r="AF85" s="457"/>
      <c r="AG85" s="457"/>
      <c r="AJ85" t="str">
        <f t="shared" si="5"/>
        <v/>
      </c>
    </row>
    <row r="86" spans="1:36" x14ac:dyDescent="0.25">
      <c r="B86" t="s">
        <v>568</v>
      </c>
      <c r="D86" s="260">
        <f>Map!AD42</f>
        <v>0</v>
      </c>
      <c r="AJ86" t="str">
        <f t="shared" si="5"/>
        <v/>
      </c>
    </row>
    <row r="87" spans="1:36" x14ac:dyDescent="0.25">
      <c r="B87" t="s">
        <v>629</v>
      </c>
      <c r="D87" s="260">
        <f>Map!AD43</f>
        <v>0</v>
      </c>
      <c r="AJ87" t="str">
        <f t="shared" si="5"/>
        <v/>
      </c>
    </row>
    <row r="88" spans="1:36" x14ac:dyDescent="0.25">
      <c r="B88" t="s">
        <v>1152</v>
      </c>
      <c r="D88" s="260">
        <f>Map!AD44</f>
        <v>0</v>
      </c>
      <c r="E88" s="280" t="s">
        <v>1197</v>
      </c>
      <c r="F88" s="280"/>
      <c r="G88" s="280"/>
      <c r="I88" s="149" t="s">
        <v>2636</v>
      </c>
      <c r="J88" s="149"/>
      <c r="K88" s="149"/>
      <c r="L88" s="149"/>
      <c r="M88" s="149"/>
      <c r="AJ88" t="str">
        <f t="shared" si="5"/>
        <v/>
      </c>
    </row>
    <row r="89" spans="1:36" ht="18.75" x14ac:dyDescent="0.3">
      <c r="B89" t="s">
        <v>1150</v>
      </c>
      <c r="D89" s="100">
        <v>10000</v>
      </c>
      <c r="AI89" s="457"/>
      <c r="AJ89" t="str">
        <f t="shared" si="5"/>
        <v/>
      </c>
    </row>
    <row r="90" spans="1:36" x14ac:dyDescent="0.25">
      <c r="B90" t="s">
        <v>1151</v>
      </c>
      <c r="D90" s="100">
        <f>IF(D88&gt;D89,D88-D89,0)</f>
        <v>0</v>
      </c>
      <c r="AJ90" t="str">
        <f t="shared" si="5"/>
        <v/>
      </c>
    </row>
    <row r="91" spans="1:36" x14ac:dyDescent="0.25">
      <c r="AJ91" t="str">
        <f t="shared" si="5"/>
        <v/>
      </c>
    </row>
    <row r="92" spans="1:36" ht="15.75" thickBot="1" x14ac:dyDescent="0.3">
      <c r="B92" s="268"/>
      <c r="C92" s="268" t="s">
        <v>1121</v>
      </c>
      <c r="D92" s="268" t="s">
        <v>1122</v>
      </c>
      <c r="E92" s="268"/>
      <c r="F92" s="268" t="s">
        <v>1103</v>
      </c>
      <c r="AJ92" t="str">
        <f t="shared" si="5"/>
        <v/>
      </c>
    </row>
    <row r="93" spans="1:36" x14ac:dyDescent="0.25">
      <c r="B93" t="s">
        <v>1153</v>
      </c>
      <c r="C93">
        <f>D90</f>
        <v>0</v>
      </c>
      <c r="D93">
        <f>D36</f>
        <v>1.4</v>
      </c>
      <c r="F93">
        <f>IFERROR(C93/100*D93,"")</f>
        <v>0</v>
      </c>
      <c r="AJ93" t="str">
        <f t="shared" si="5"/>
        <v/>
      </c>
    </row>
    <row r="94" spans="1:36" x14ac:dyDescent="0.25">
      <c r="B94" t="s">
        <v>568</v>
      </c>
      <c r="C94">
        <f>D86</f>
        <v>0</v>
      </c>
      <c r="D94">
        <f>D36*0.75</f>
        <v>1.0499999999999998</v>
      </c>
      <c r="F94">
        <f>IFERROR(C94/100*D94,"")</f>
        <v>0</v>
      </c>
      <c r="H94" s="438" t="s">
        <v>2911</v>
      </c>
      <c r="I94" s="438"/>
      <c r="J94" s="438"/>
      <c r="K94" s="438"/>
      <c r="AJ94" t="str">
        <f t="shared" si="5"/>
        <v/>
      </c>
    </row>
    <row r="95" spans="1:36" ht="15.75" thickBot="1" x14ac:dyDescent="0.3">
      <c r="B95" t="s">
        <v>629</v>
      </c>
      <c r="C95">
        <f>D87</f>
        <v>0</v>
      </c>
      <c r="D95">
        <f>D36</f>
        <v>1.4</v>
      </c>
      <c r="F95">
        <f>IFERROR(C95/100*D95,"")</f>
        <v>0</v>
      </c>
      <c r="AJ95" t="str">
        <f t="shared" si="5"/>
        <v/>
      </c>
    </row>
    <row r="96" spans="1:36" ht="15.75" thickTop="1" x14ac:dyDescent="0.25">
      <c r="B96" s="267" t="s">
        <v>1154</v>
      </c>
      <c r="C96" s="267"/>
      <c r="D96" s="267"/>
      <c r="E96" s="267"/>
      <c r="F96" s="267">
        <f>SUM(F93:F95)</f>
        <v>0</v>
      </c>
      <c r="AJ96" t="str">
        <f t="shared" si="5"/>
        <v/>
      </c>
    </row>
    <row r="97" spans="1:36" x14ac:dyDescent="0.25">
      <c r="B97" s="277" t="s">
        <v>40</v>
      </c>
      <c r="C97" s="277"/>
      <c r="D97" s="277"/>
      <c r="E97" s="277"/>
      <c r="F97" s="277">
        <f>IF(D90&gt;0,25,0)</f>
        <v>0</v>
      </c>
      <c r="AJ97" t="str">
        <f t="shared" si="5"/>
        <v/>
      </c>
    </row>
    <row r="98" spans="1:36" x14ac:dyDescent="0.25">
      <c r="B98" t="s">
        <v>1159</v>
      </c>
      <c r="F98" s="276">
        <f>MAX(F96:F97)</f>
        <v>0</v>
      </c>
      <c r="AJ98" t="str">
        <f t="shared" si="5"/>
        <v/>
      </c>
    </row>
    <row r="99" spans="1:36" x14ac:dyDescent="0.25">
      <c r="AJ99" t="str">
        <f t="shared" si="5"/>
        <v/>
      </c>
    </row>
    <row r="100" spans="1:36" x14ac:dyDescent="0.25">
      <c r="B100" t="s">
        <v>1361</v>
      </c>
      <c r="C100">
        <f>D86</f>
        <v>0</v>
      </c>
      <c r="AJ100" t="str">
        <f t="shared" si="5"/>
        <v/>
      </c>
    </row>
    <row r="101" spans="1:36" x14ac:dyDescent="0.25">
      <c r="B101" t="s">
        <v>2849</v>
      </c>
      <c r="C101">
        <f>D87</f>
        <v>0</v>
      </c>
      <c r="AJ101" t="str">
        <f t="shared" si="5"/>
        <v/>
      </c>
    </row>
    <row r="102" spans="1:36" x14ac:dyDescent="0.25">
      <c r="B102" t="s">
        <v>1153</v>
      </c>
      <c r="C102">
        <f>MAX(D88:D89)</f>
        <v>10000</v>
      </c>
      <c r="AJ102" t="str">
        <f t="shared" si="5"/>
        <v/>
      </c>
    </row>
    <row r="103" spans="1:36" x14ac:dyDescent="0.25">
      <c r="AJ103" t="str">
        <f t="shared" si="5"/>
        <v/>
      </c>
    </row>
    <row r="104" spans="1:36" x14ac:dyDescent="0.25">
      <c r="AJ104" t="str">
        <f t="shared" si="5"/>
        <v/>
      </c>
    </row>
    <row r="105" spans="1:36" x14ac:dyDescent="0.25">
      <c r="AJ105" t="str">
        <f t="shared" si="5"/>
        <v/>
      </c>
    </row>
    <row r="106" spans="1:36" x14ac:dyDescent="0.25">
      <c r="AJ106" t="str">
        <f t="shared" si="5"/>
        <v/>
      </c>
    </row>
    <row r="107" spans="1:36" s="266" customFormat="1" ht="18.75" x14ac:dyDescent="0.3">
      <c r="A107" s="265">
        <v>7</v>
      </c>
      <c r="B107" s="265" t="s">
        <v>573</v>
      </c>
      <c r="AE107" s="175"/>
      <c r="AF107" s="175"/>
      <c r="AG107" s="175"/>
      <c r="AH107" s="457"/>
      <c r="AI107" s="175"/>
      <c r="AJ107" s="266" t="str">
        <f t="shared" si="5"/>
        <v/>
      </c>
    </row>
    <row r="108" spans="1:36" ht="18.75" x14ac:dyDescent="0.3">
      <c r="AE108" s="457"/>
      <c r="AF108" s="457"/>
      <c r="AG108" s="457"/>
      <c r="AJ108" t="str">
        <f t="shared" si="5"/>
        <v/>
      </c>
    </row>
    <row r="109" spans="1:36" x14ac:dyDescent="0.25">
      <c r="B109" t="s">
        <v>1155</v>
      </c>
      <c r="C109" s="149">
        <f>Map!AD45</f>
        <v>0</v>
      </c>
      <c r="D109" s="280" t="s">
        <v>1191</v>
      </c>
      <c r="E109" s="280"/>
      <c r="F109" s="280"/>
      <c r="G109" t="s">
        <v>2796</v>
      </c>
      <c r="AJ109" t="str">
        <f t="shared" ref="AJ109:AJ140" si="6">IF($AJ$7="Quote",IFERROR(VLOOKUP(AI109,$AF$7:$AG$240,2,FALSE),"Not included"),"")</f>
        <v/>
      </c>
    </row>
    <row r="110" spans="1:36" x14ac:dyDescent="0.25">
      <c r="B110" t="s">
        <v>1156</v>
      </c>
      <c r="C110" s="149">
        <f>Map!AD46</f>
        <v>0</v>
      </c>
      <c r="D110" s="280" t="s">
        <v>1192</v>
      </c>
      <c r="E110" s="280"/>
      <c r="F110" s="280"/>
      <c r="AJ110" t="str">
        <f t="shared" si="6"/>
        <v/>
      </c>
    </row>
    <row r="111" spans="1:36" x14ac:dyDescent="0.25">
      <c r="B111" t="s">
        <v>1157</v>
      </c>
      <c r="C111" s="149">
        <f>Map!AD47</f>
        <v>0</v>
      </c>
      <c r="D111" s="280" t="s">
        <v>1191</v>
      </c>
      <c r="E111" s="280"/>
      <c r="F111" s="280"/>
      <c r="AJ111" t="str">
        <f t="shared" si="6"/>
        <v/>
      </c>
    </row>
    <row r="112" spans="1:36" ht="18.75" x14ac:dyDescent="0.3">
      <c r="B112" t="s">
        <v>1158</v>
      </c>
      <c r="C112" s="149">
        <f>Map!AD48</f>
        <v>0</v>
      </c>
      <c r="D112" s="280" t="s">
        <v>1191</v>
      </c>
      <c r="E112" s="280"/>
      <c r="F112" s="280"/>
      <c r="AI112" s="457"/>
      <c r="AJ112" t="str">
        <f t="shared" si="6"/>
        <v/>
      </c>
    </row>
    <row r="113" spans="2:36" x14ac:dyDescent="0.25">
      <c r="AJ113" t="str">
        <f t="shared" si="6"/>
        <v/>
      </c>
    </row>
    <row r="114" spans="2:36" x14ac:dyDescent="0.25">
      <c r="AJ114" t="str">
        <f t="shared" si="6"/>
        <v/>
      </c>
    </row>
    <row r="115" spans="2:36" ht="15.75" thickBot="1" x14ac:dyDescent="0.3">
      <c r="B115" s="268"/>
      <c r="C115" s="268" t="s">
        <v>1121</v>
      </c>
      <c r="D115" s="268" t="s">
        <v>1160</v>
      </c>
      <c r="E115" s="268"/>
      <c r="F115" s="268" t="s">
        <v>1103</v>
      </c>
      <c r="AJ115" t="str">
        <f t="shared" si="6"/>
        <v/>
      </c>
    </row>
    <row r="116" spans="2:36" x14ac:dyDescent="0.25">
      <c r="B116" t="s">
        <v>1155</v>
      </c>
      <c r="C116">
        <f>C109</f>
        <v>0</v>
      </c>
      <c r="D116">
        <f>IF(C116=2500,75,IF(C116=5000,100,100))</f>
        <v>100</v>
      </c>
      <c r="F116">
        <f>IF(C116&gt;0,D116,0)</f>
        <v>0</v>
      </c>
      <c r="AJ116" t="str">
        <f t="shared" si="6"/>
        <v/>
      </c>
    </row>
    <row r="117" spans="2:36" x14ac:dyDescent="0.25">
      <c r="B117" t="s">
        <v>1156</v>
      </c>
      <c r="C117">
        <f>C110</f>
        <v>0</v>
      </c>
      <c r="D117">
        <v>25</v>
      </c>
      <c r="F117">
        <f t="shared" ref="F117:F119" si="7">IF(C117&gt;0,D117,0)</f>
        <v>0</v>
      </c>
      <c r="AJ117" t="str">
        <f t="shared" si="6"/>
        <v/>
      </c>
    </row>
    <row r="118" spans="2:36" x14ac:dyDescent="0.25">
      <c r="B118" t="s">
        <v>1157</v>
      </c>
      <c r="C118">
        <f>C111</f>
        <v>0</v>
      </c>
      <c r="D118">
        <f>IF(C118=2500,150,IF(C118=5000,175,175))</f>
        <v>175</v>
      </c>
      <c r="F118">
        <f t="shared" si="7"/>
        <v>0</v>
      </c>
      <c r="AJ118" t="str">
        <f t="shared" si="6"/>
        <v/>
      </c>
    </row>
    <row r="119" spans="2:36" ht="15.75" thickBot="1" x14ac:dyDescent="0.3">
      <c r="B119" t="s">
        <v>1158</v>
      </c>
      <c r="C119">
        <f>C112</f>
        <v>0</v>
      </c>
      <c r="D119">
        <f>IF(C119=2500,50,IF(C119=5000,75,75))</f>
        <v>75</v>
      </c>
      <c r="F119">
        <f t="shared" si="7"/>
        <v>0</v>
      </c>
      <c r="AJ119" t="str">
        <f t="shared" si="6"/>
        <v/>
      </c>
    </row>
    <row r="120" spans="2:36" ht="15.75" thickTop="1" x14ac:dyDescent="0.25">
      <c r="B120" s="267" t="s">
        <v>1154</v>
      </c>
      <c r="C120" s="267"/>
      <c r="D120" s="267"/>
      <c r="E120" s="267"/>
      <c r="F120" s="267">
        <f>SUM(F116:F119)</f>
        <v>0</v>
      </c>
      <c r="AJ120" t="str">
        <f t="shared" si="6"/>
        <v/>
      </c>
    </row>
    <row r="121" spans="2:36" x14ac:dyDescent="0.25">
      <c r="B121" s="277" t="s">
        <v>40</v>
      </c>
      <c r="C121" s="277"/>
      <c r="D121" s="277"/>
      <c r="E121" s="277"/>
      <c r="F121" s="277">
        <v>0</v>
      </c>
      <c r="AJ121" t="str">
        <f t="shared" si="6"/>
        <v/>
      </c>
    </row>
    <row r="122" spans="2:36" x14ac:dyDescent="0.25">
      <c r="B122" t="s">
        <v>1161</v>
      </c>
      <c r="F122" s="276">
        <f>MAX(F120:F121)</f>
        <v>0</v>
      </c>
      <c r="AJ122" t="str">
        <f t="shared" si="6"/>
        <v/>
      </c>
    </row>
    <row r="123" spans="2:36" x14ac:dyDescent="0.25">
      <c r="AJ123" t="str">
        <f t="shared" si="6"/>
        <v/>
      </c>
    </row>
    <row r="124" spans="2:36" x14ac:dyDescent="0.25">
      <c r="B124" s="149" t="s">
        <v>1155</v>
      </c>
      <c r="C124">
        <f>IF(C109&gt;0,C109,IF(C111&gt;0,C111,0))</f>
        <v>0</v>
      </c>
      <c r="D124" s="149" t="s">
        <v>2793</v>
      </c>
      <c r="E124">
        <f>IF(C111&gt;0,C111,0)</f>
        <v>0</v>
      </c>
      <c r="AJ124" t="str">
        <f t="shared" si="6"/>
        <v/>
      </c>
    </row>
    <row r="125" spans="2:36" x14ac:dyDescent="0.25">
      <c r="B125" s="149" t="s">
        <v>2790</v>
      </c>
      <c r="C125">
        <f>IF(C110&gt;0,C110,IF(C109&gt;0,C109,IF(C111&gt;0,C111,0)))</f>
        <v>0</v>
      </c>
      <c r="D125" s="149" t="s">
        <v>2794</v>
      </c>
      <c r="E125">
        <f>IF(C111&gt;0,C111,0)</f>
        <v>0</v>
      </c>
      <c r="AJ125" t="str">
        <f t="shared" si="6"/>
        <v/>
      </c>
    </row>
    <row r="126" spans="2:36" x14ac:dyDescent="0.25">
      <c r="B126" s="149" t="s">
        <v>2791</v>
      </c>
      <c r="C126">
        <f>IF($C$110&gt;0,$C$110,IF($C$109&gt;0,$C$109,IF($C$111&gt;0,$C$111,0)))</f>
        <v>0</v>
      </c>
      <c r="D126" s="149" t="s">
        <v>2795</v>
      </c>
      <c r="E126">
        <f>IF($C$111&gt;0,$C$111,0)</f>
        <v>0</v>
      </c>
      <c r="AJ126" t="str">
        <f t="shared" si="6"/>
        <v/>
      </c>
    </row>
    <row r="127" spans="2:36" x14ac:dyDescent="0.25">
      <c r="B127" s="149" t="s">
        <v>2778</v>
      </c>
      <c r="C127">
        <f>IF($C$110&gt;0,500,IF($C$109&gt;0,$C$109,IF($C$111&gt;0,$C$111,0)))</f>
        <v>0</v>
      </c>
      <c r="D127" t="s">
        <v>2792</v>
      </c>
      <c r="E127">
        <f>IF(C112&gt;0,C112,0)</f>
        <v>0</v>
      </c>
      <c r="AJ127" t="str">
        <f t="shared" si="6"/>
        <v/>
      </c>
    </row>
    <row r="128" spans="2:36" x14ac:dyDescent="0.25">
      <c r="B128" s="149" t="s">
        <v>2773</v>
      </c>
      <c r="C128">
        <f>IF($C$111&gt;0,$C$111,0)</f>
        <v>0</v>
      </c>
      <c r="D128" s="149" t="s">
        <v>2864</v>
      </c>
      <c r="E128">
        <f>IF($C$111&gt;0,$C$111,0)</f>
        <v>0</v>
      </c>
      <c r="AJ128" t="str">
        <f t="shared" si="6"/>
        <v/>
      </c>
    </row>
    <row r="129" spans="1:36" x14ac:dyDescent="0.25">
      <c r="AJ129" t="str">
        <f t="shared" si="6"/>
        <v/>
      </c>
    </row>
    <row r="130" spans="1:36" s="266" customFormat="1" ht="18.75" x14ac:dyDescent="0.3">
      <c r="A130" s="265">
        <v>8</v>
      </c>
      <c r="B130" s="265" t="s">
        <v>1177</v>
      </c>
      <c r="AE130" s="175"/>
      <c r="AF130" s="175"/>
      <c r="AG130" s="175"/>
      <c r="AH130" s="457"/>
      <c r="AI130" s="175"/>
      <c r="AJ130" s="266" t="str">
        <f t="shared" si="6"/>
        <v/>
      </c>
    </row>
    <row r="131" spans="1:36" ht="18.75" x14ac:dyDescent="0.3">
      <c r="AE131" s="457"/>
      <c r="AF131" s="457"/>
      <c r="AG131" s="457"/>
      <c r="AJ131" t="str">
        <f t="shared" si="6"/>
        <v/>
      </c>
    </row>
    <row r="132" spans="1:36" x14ac:dyDescent="0.25">
      <c r="B132" t="s">
        <v>1167</v>
      </c>
      <c r="C132" s="149">
        <f>Map!AD49</f>
        <v>10000</v>
      </c>
      <c r="D132" s="280" t="s">
        <v>1189</v>
      </c>
      <c r="E132" s="247"/>
      <c r="F132" s="247"/>
      <c r="G132" s="247"/>
      <c r="AJ132" t="str">
        <f t="shared" si="6"/>
        <v/>
      </c>
    </row>
    <row r="133" spans="1:36" x14ac:dyDescent="0.25">
      <c r="B133" t="s">
        <v>1169</v>
      </c>
      <c r="C133" s="175">
        <v>10000</v>
      </c>
      <c r="AJ133" t="str">
        <f t="shared" si="6"/>
        <v/>
      </c>
    </row>
    <row r="134" spans="1:36" x14ac:dyDescent="0.25">
      <c r="B134" t="s">
        <v>1168</v>
      </c>
      <c r="C134">
        <f>IF(C132&gt;=C133,C132-C133,C133)</f>
        <v>0</v>
      </c>
      <c r="AJ134" t="str">
        <f t="shared" si="6"/>
        <v/>
      </c>
    </row>
    <row r="135" spans="1:36" ht="18.75" x14ac:dyDescent="0.3">
      <c r="B135" t="s">
        <v>1170</v>
      </c>
      <c r="C135" s="149">
        <f>Map!AD50</f>
        <v>0</v>
      </c>
      <c r="D135" s="280" t="s">
        <v>1188</v>
      </c>
      <c r="E135" s="247"/>
      <c r="F135" s="247"/>
      <c r="G135" s="247"/>
      <c r="AI135" s="457"/>
      <c r="AJ135" t="str">
        <f t="shared" si="6"/>
        <v/>
      </c>
    </row>
    <row r="136" spans="1:36" x14ac:dyDescent="0.25">
      <c r="B136" t="s">
        <v>1178</v>
      </c>
      <c r="C136" s="279" t="str">
        <f>Map!AD51</f>
        <v>No</v>
      </c>
      <c r="D136" s="280" t="s">
        <v>1187</v>
      </c>
      <c r="E136" s="247"/>
      <c r="F136" s="247"/>
      <c r="G136" s="247"/>
      <c r="AJ136" t="str">
        <f t="shared" si="6"/>
        <v/>
      </c>
    </row>
    <row r="137" spans="1:36" x14ac:dyDescent="0.25">
      <c r="AJ137" t="str">
        <f t="shared" si="6"/>
        <v/>
      </c>
    </row>
    <row r="138" spans="1:36" ht="15.75" thickBot="1" x14ac:dyDescent="0.3">
      <c r="B138" s="268"/>
      <c r="C138" s="268" t="s">
        <v>1121</v>
      </c>
      <c r="D138" s="268" t="s">
        <v>1160</v>
      </c>
      <c r="E138" s="268"/>
      <c r="F138" s="268" t="s">
        <v>1103</v>
      </c>
      <c r="AJ138" t="str">
        <f t="shared" si="6"/>
        <v/>
      </c>
    </row>
    <row r="139" spans="1:36" x14ac:dyDescent="0.25">
      <c r="B139" t="s">
        <v>1173</v>
      </c>
      <c r="C139">
        <f>C134</f>
        <v>0</v>
      </c>
      <c r="D139">
        <f>IF(C139=5000,50,IF(C139=20000,100,0))</f>
        <v>0</v>
      </c>
      <c r="F139">
        <f>IF(C139&gt;0,D139,0)</f>
        <v>0</v>
      </c>
      <c r="AJ139" t="str">
        <f t="shared" si="6"/>
        <v/>
      </c>
    </row>
    <row r="140" spans="1:36" x14ac:dyDescent="0.25">
      <c r="B140" t="s">
        <v>1172</v>
      </c>
      <c r="C140">
        <f>C135</f>
        <v>0</v>
      </c>
      <c r="D140">
        <f>IF(C140=2500,25,IF(C140=5000,50,IF(C140=10000,75,IF(C140=25000,125,IF(C140=C40,150,0)))))</f>
        <v>150</v>
      </c>
      <c r="F140">
        <f>IF(C140&gt;0,D140,0)</f>
        <v>0</v>
      </c>
      <c r="AJ140" t="str">
        <f t="shared" si="6"/>
        <v/>
      </c>
    </row>
    <row r="141" spans="1:36" ht="15.75" thickBot="1" x14ac:dyDescent="0.3">
      <c r="B141" t="s">
        <v>1179</v>
      </c>
      <c r="C141" s="257" t="str">
        <f>C136</f>
        <v>No</v>
      </c>
      <c r="D141">
        <v>50</v>
      </c>
      <c r="F141">
        <f>IF(C141="Yes",D141,0)</f>
        <v>0</v>
      </c>
      <c r="AJ141" t="str">
        <f t="shared" ref="AJ141:AJ172" si="8">IF($AJ$7="Quote",IFERROR(VLOOKUP(AI141,$AF$7:$AG$240,2,FALSE),"Not included"),"")</f>
        <v/>
      </c>
    </row>
    <row r="142" spans="1:36" ht="15.75" thickTop="1" x14ac:dyDescent="0.25">
      <c r="B142" s="267" t="s">
        <v>1176</v>
      </c>
      <c r="C142" s="267"/>
      <c r="D142" s="267"/>
      <c r="E142" s="267"/>
      <c r="F142" s="278">
        <f>SUM(F139:F141)</f>
        <v>0</v>
      </c>
      <c r="AJ142" t="str">
        <f t="shared" si="8"/>
        <v/>
      </c>
    </row>
    <row r="143" spans="1:36" x14ac:dyDescent="0.25">
      <c r="AJ143" t="str">
        <f t="shared" si="8"/>
        <v/>
      </c>
    </row>
    <row r="144" spans="1:36" x14ac:dyDescent="0.25">
      <c r="AJ144" t="str">
        <f t="shared" si="8"/>
        <v/>
      </c>
    </row>
    <row r="145" spans="1:36" x14ac:dyDescent="0.25">
      <c r="AJ145" t="str">
        <f t="shared" si="8"/>
        <v/>
      </c>
    </row>
    <row r="146" spans="1:36" x14ac:dyDescent="0.25">
      <c r="B146" t="s">
        <v>1171</v>
      </c>
      <c r="AJ146" t="str">
        <f t="shared" si="8"/>
        <v/>
      </c>
    </row>
    <row r="147" spans="1:36" x14ac:dyDescent="0.25">
      <c r="B147" t="s">
        <v>1174</v>
      </c>
      <c r="AJ147" t="str">
        <f t="shared" si="8"/>
        <v/>
      </c>
    </row>
    <row r="148" spans="1:36" x14ac:dyDescent="0.25">
      <c r="AJ148" t="str">
        <f t="shared" si="8"/>
        <v/>
      </c>
    </row>
    <row r="149" spans="1:36" x14ac:dyDescent="0.25">
      <c r="AJ149" t="str">
        <f t="shared" si="8"/>
        <v/>
      </c>
    </row>
    <row r="150" spans="1:36" s="266" customFormat="1" ht="18.75" x14ac:dyDescent="0.3">
      <c r="A150" s="265">
        <v>9</v>
      </c>
      <c r="B150" s="265" t="s">
        <v>1265</v>
      </c>
      <c r="AE150" s="175"/>
      <c r="AF150" s="175"/>
      <c r="AG150" s="175"/>
      <c r="AH150" s="457"/>
      <c r="AI150" s="175"/>
      <c r="AJ150" s="266" t="str">
        <f t="shared" si="8"/>
        <v/>
      </c>
    </row>
    <row r="151" spans="1:36" ht="18.75" x14ac:dyDescent="0.3">
      <c r="AE151" s="457"/>
      <c r="AF151" s="457"/>
      <c r="AG151" s="457"/>
      <c r="AJ151" t="str">
        <f t="shared" si="8"/>
        <v/>
      </c>
    </row>
    <row r="152" spans="1:36" x14ac:dyDescent="0.25">
      <c r="B152" t="s">
        <v>1303</v>
      </c>
      <c r="C152" s="149"/>
      <c r="D152" s="280" t="s">
        <v>1199</v>
      </c>
      <c r="E152" s="280"/>
      <c r="F152" s="280"/>
      <c r="AJ152" t="str">
        <f t="shared" si="8"/>
        <v/>
      </c>
    </row>
    <row r="153" spans="1:36" x14ac:dyDescent="0.25">
      <c r="B153" t="s">
        <v>1200</v>
      </c>
      <c r="C153" s="149"/>
      <c r="AJ153" t="str">
        <f t="shared" si="8"/>
        <v/>
      </c>
    </row>
    <row r="154" spans="1:36" x14ac:dyDescent="0.25">
      <c r="B154" t="s">
        <v>2655</v>
      </c>
      <c r="C154" s="149"/>
      <c r="AJ154" t="str">
        <f t="shared" si="8"/>
        <v/>
      </c>
    </row>
    <row r="155" spans="1:36" ht="18.75" x14ac:dyDescent="0.3">
      <c r="AI155" s="457"/>
      <c r="AJ155" t="str">
        <f t="shared" si="8"/>
        <v/>
      </c>
    </row>
    <row r="156" spans="1:36" x14ac:dyDescent="0.25">
      <c r="B156" s="247" t="s">
        <v>1202</v>
      </c>
      <c r="C156" s="247"/>
      <c r="D156" s="247"/>
      <c r="E156" s="247"/>
      <c r="F156" s="247"/>
      <c r="AJ156" t="str">
        <f t="shared" si="8"/>
        <v/>
      </c>
    </row>
    <row r="157" spans="1:36" x14ac:dyDescent="0.25">
      <c r="AJ157" t="str">
        <f t="shared" si="8"/>
        <v/>
      </c>
    </row>
    <row r="158" spans="1:36" x14ac:dyDescent="0.25">
      <c r="AJ158" t="str">
        <f t="shared" si="8"/>
        <v/>
      </c>
    </row>
    <row r="159" spans="1:36" s="266" customFormat="1" ht="18.75" x14ac:dyDescent="0.3">
      <c r="A159" s="265">
        <v>10</v>
      </c>
      <c r="B159" s="265" t="s">
        <v>1219</v>
      </c>
      <c r="AE159" s="175"/>
      <c r="AF159" s="175"/>
      <c r="AG159" s="175"/>
      <c r="AH159" s="457"/>
      <c r="AI159" s="175"/>
      <c r="AJ159" s="266" t="str">
        <f t="shared" si="8"/>
        <v/>
      </c>
    </row>
    <row r="160" spans="1:36" ht="18.75" x14ac:dyDescent="0.3">
      <c r="AE160" s="457"/>
      <c r="AF160" s="457"/>
      <c r="AG160" s="457"/>
      <c r="AJ160" t="str">
        <f t="shared" si="8"/>
        <v/>
      </c>
    </row>
    <row r="161" spans="1:36" x14ac:dyDescent="0.25">
      <c r="B161" t="s">
        <v>1198</v>
      </c>
      <c r="C161" s="149">
        <f>Map!AD54</f>
        <v>0</v>
      </c>
      <c r="D161" s="175"/>
      <c r="E161" s="175"/>
      <c r="AJ161" t="str">
        <f t="shared" si="8"/>
        <v/>
      </c>
    </row>
    <row r="162" spans="1:36" x14ac:dyDescent="0.25">
      <c r="AJ162" t="str">
        <f t="shared" si="8"/>
        <v/>
      </c>
    </row>
    <row r="163" spans="1:36" ht="15.75" thickBot="1" x14ac:dyDescent="0.3">
      <c r="B163" s="268"/>
      <c r="C163" s="268" t="s">
        <v>1121</v>
      </c>
      <c r="D163" s="268" t="s">
        <v>1122</v>
      </c>
      <c r="E163" s="268"/>
      <c r="F163" s="268" t="s">
        <v>1103</v>
      </c>
      <c r="AJ163" t="str">
        <f t="shared" si="8"/>
        <v/>
      </c>
    </row>
    <row r="164" spans="1:36" ht="18.75" x14ac:dyDescent="0.3">
      <c r="B164" t="s">
        <v>1219</v>
      </c>
      <c r="C164">
        <f>C161</f>
        <v>0</v>
      </c>
      <c r="D164" s="257">
        <v>0.05</v>
      </c>
      <c r="F164" s="257">
        <f>IFERROR(C164/100*D164,0)</f>
        <v>0</v>
      </c>
      <c r="AI164" s="457"/>
      <c r="AJ164" t="str">
        <f t="shared" si="8"/>
        <v/>
      </c>
    </row>
    <row r="165" spans="1:36" ht="15.75" thickBot="1" x14ac:dyDescent="0.3">
      <c r="C165" s="257"/>
      <c r="AJ165" t="str">
        <f t="shared" si="8"/>
        <v/>
      </c>
    </row>
    <row r="166" spans="1:36" ht="15.75" thickTop="1" x14ac:dyDescent="0.25">
      <c r="B166" s="267" t="s">
        <v>1267</v>
      </c>
      <c r="C166" s="267"/>
      <c r="D166" s="267"/>
      <c r="E166" s="267"/>
      <c r="F166" s="291">
        <f>SUM(F164:F165)</f>
        <v>0</v>
      </c>
      <c r="AJ166" t="str">
        <f t="shared" si="8"/>
        <v/>
      </c>
    </row>
    <row r="167" spans="1:36" x14ac:dyDescent="0.25">
      <c r="B167" s="282" t="s">
        <v>40</v>
      </c>
      <c r="C167" s="277"/>
      <c r="D167" s="277"/>
      <c r="E167" s="277"/>
      <c r="F167" s="292">
        <v>40</v>
      </c>
      <c r="AJ167" t="str">
        <f t="shared" si="8"/>
        <v/>
      </c>
    </row>
    <row r="168" spans="1:36" x14ac:dyDescent="0.25">
      <c r="B168" s="282" t="s">
        <v>1268</v>
      </c>
      <c r="C168" s="277"/>
      <c r="D168" s="277"/>
      <c r="E168" s="277"/>
      <c r="F168" s="290">
        <f>IF(C161&gt;0,MAX(F166:F167),0)</f>
        <v>0</v>
      </c>
      <c r="AJ168" t="str">
        <f t="shared" si="8"/>
        <v/>
      </c>
    </row>
    <row r="169" spans="1:36" x14ac:dyDescent="0.25">
      <c r="B169" s="277"/>
      <c r="C169" s="277"/>
      <c r="D169" s="277"/>
      <c r="E169" s="277"/>
      <c r="F169" s="292"/>
      <c r="AJ169" t="str">
        <f t="shared" si="8"/>
        <v/>
      </c>
    </row>
    <row r="170" spans="1:36" x14ac:dyDescent="0.25">
      <c r="B170" s="277"/>
      <c r="C170" s="277"/>
      <c r="D170" s="277"/>
      <c r="E170" s="277"/>
      <c r="F170" s="292"/>
      <c r="AJ170" t="str">
        <f t="shared" si="8"/>
        <v/>
      </c>
    </row>
    <row r="171" spans="1:36" s="266" customFormat="1" ht="18.75" x14ac:dyDescent="0.3">
      <c r="A171" s="265">
        <v>11</v>
      </c>
      <c r="B171" s="265" t="s">
        <v>1201</v>
      </c>
      <c r="AE171" s="175"/>
      <c r="AF171" s="175"/>
      <c r="AG171" s="175"/>
      <c r="AH171" s="457"/>
      <c r="AI171" s="175"/>
      <c r="AJ171" s="266" t="str">
        <f t="shared" si="8"/>
        <v/>
      </c>
    </row>
    <row r="172" spans="1:36" ht="18.75" x14ac:dyDescent="0.3">
      <c r="AE172" s="457"/>
      <c r="AF172" s="457"/>
      <c r="AG172" s="457"/>
      <c r="AJ172" t="str">
        <f t="shared" si="8"/>
        <v/>
      </c>
    </row>
    <row r="173" spans="1:36" x14ac:dyDescent="0.25">
      <c r="B173" t="s">
        <v>1203</v>
      </c>
      <c r="C173" s="149">
        <f>Map!AD55</f>
        <v>0</v>
      </c>
      <c r="D173" t="s">
        <v>1204</v>
      </c>
      <c r="E173" s="149">
        <f>Map!AD56</f>
        <v>5000</v>
      </c>
      <c r="AJ173" t="str">
        <f t="shared" ref="AJ173:AJ201" si="9">IF($AJ$7="Quote",IFERROR(VLOOKUP(AI173,$AF$7:$AG$240,2,FALSE),"Not included"),"")</f>
        <v/>
      </c>
    </row>
    <row r="174" spans="1:36" x14ac:dyDescent="0.25">
      <c r="B174" t="s">
        <v>1205</v>
      </c>
      <c r="C174" s="149">
        <f>Map!AD57</f>
        <v>0</v>
      </c>
      <c r="D174" t="s">
        <v>1206</v>
      </c>
      <c r="E174" s="149">
        <f>Map!AD58</f>
        <v>1000</v>
      </c>
      <c r="AJ174" t="str">
        <f t="shared" si="9"/>
        <v/>
      </c>
    </row>
    <row r="175" spans="1:36" x14ac:dyDescent="0.25">
      <c r="B175" t="s">
        <v>1310</v>
      </c>
      <c r="C175" s="175">
        <f>IF(C174="1st",50000,IF(C174="3rd",50000,0))</f>
        <v>0</v>
      </c>
      <c r="D175" s="175"/>
      <c r="E175" s="175"/>
      <c r="AJ175" t="str">
        <f t="shared" si="9"/>
        <v/>
      </c>
    </row>
    <row r="176" spans="1:36" ht="18.75" x14ac:dyDescent="0.3">
      <c r="AI176" s="457"/>
      <c r="AJ176" t="str">
        <f t="shared" si="9"/>
        <v/>
      </c>
    </row>
    <row r="177" spans="2:36" ht="15.75" thickBot="1" x14ac:dyDescent="0.3">
      <c r="B177" s="268"/>
      <c r="C177" s="268" t="s">
        <v>1121</v>
      </c>
      <c r="D177" s="268" t="s">
        <v>1160</v>
      </c>
      <c r="E177" s="268"/>
      <c r="F177" s="268" t="s">
        <v>1103</v>
      </c>
      <c r="AJ177" t="str">
        <f t="shared" si="9"/>
        <v/>
      </c>
    </row>
    <row r="178" spans="2:36" x14ac:dyDescent="0.25">
      <c r="B178" t="s">
        <v>1207</v>
      </c>
      <c r="C178">
        <f>C173</f>
        <v>0</v>
      </c>
      <c r="D178" s="257">
        <f>IF(C178=50000,IF(E173=2500,321,IF(E173=5000,264,IF(E173=10000,235,"Check"))),IF(C178=100000,IF(E173=5000,534,IF(E173=10000,304,"Check")),0))</f>
        <v>0</v>
      </c>
      <c r="F178" s="257">
        <f>D178</f>
        <v>0</v>
      </c>
      <c r="AJ178" t="str">
        <f t="shared" si="9"/>
        <v/>
      </c>
    </row>
    <row r="179" spans="2:36" x14ac:dyDescent="0.25">
      <c r="B179" t="s">
        <v>1208</v>
      </c>
      <c r="C179">
        <f>C174</f>
        <v>0</v>
      </c>
      <c r="D179">
        <f>IF(C179="1st",IF(E174=1000,82,IF(E174=2500,81,IF(E174=5000,80,IF(E174=10000,78,"Check")))),IF(C179="3rd",IF(E174=1000,114,IF(E174=2500,113,IF(E174=5000,111,IF(E174=10000,108,"Check")))),0))</f>
        <v>0</v>
      </c>
      <c r="F179">
        <f>D179</f>
        <v>0</v>
      </c>
      <c r="AJ179" t="str">
        <f t="shared" si="9"/>
        <v/>
      </c>
    </row>
    <row r="180" spans="2:36" ht="15.75" thickBot="1" x14ac:dyDescent="0.3">
      <c r="C180" s="257"/>
      <c r="AJ180" t="str">
        <f t="shared" si="9"/>
        <v/>
      </c>
    </row>
    <row r="181" spans="2:36" ht="15.75" thickTop="1" x14ac:dyDescent="0.25">
      <c r="B181" s="267" t="s">
        <v>1266</v>
      </c>
      <c r="C181" s="267"/>
      <c r="D181" s="267"/>
      <c r="E181" s="267"/>
      <c r="F181" s="278">
        <f>SUM(F178:F180)</f>
        <v>0</v>
      </c>
      <c r="AJ181" t="str">
        <f t="shared" si="9"/>
        <v/>
      </c>
    </row>
    <row r="182" spans="2:36" x14ac:dyDescent="0.25">
      <c r="B182" s="277"/>
      <c r="C182" s="277"/>
      <c r="D182" s="277"/>
      <c r="E182" s="277"/>
      <c r="F182" s="281"/>
      <c r="AJ182" t="str">
        <f t="shared" si="9"/>
        <v/>
      </c>
    </row>
    <row r="183" spans="2:36" x14ac:dyDescent="0.25">
      <c r="B183" s="403" t="s">
        <v>2463</v>
      </c>
      <c r="C183" s="404"/>
      <c r="D183" s="404" t="s">
        <v>1208</v>
      </c>
      <c r="E183" s="277"/>
      <c r="F183" s="281"/>
      <c r="AJ183" t="str">
        <f t="shared" si="9"/>
        <v/>
      </c>
    </row>
    <row r="184" spans="2:36" x14ac:dyDescent="0.25">
      <c r="B184" s="277" t="s">
        <v>2475</v>
      </c>
      <c r="C184" s="402">
        <f>C173</f>
        <v>0</v>
      </c>
      <c r="D184" s="277" t="s">
        <v>2510</v>
      </c>
      <c r="E184" s="401">
        <f>IF($C$175&gt;0,$C$175*10%,0)</f>
        <v>0</v>
      </c>
      <c r="F184" s="281"/>
      <c r="AJ184" t="str">
        <f t="shared" si="9"/>
        <v/>
      </c>
    </row>
    <row r="185" spans="2:36" x14ac:dyDescent="0.25">
      <c r="B185" s="277" t="s">
        <v>2504</v>
      </c>
      <c r="C185" s="402">
        <f>IF($C$173=50000,2500,IF($C$173=100000,5000,0))</f>
        <v>0</v>
      </c>
      <c r="D185" s="277" t="s">
        <v>2511</v>
      </c>
      <c r="E185" s="401">
        <f>IF($C$175&gt;0,$C$175*10%,0)</f>
        <v>0</v>
      </c>
      <c r="F185" s="281"/>
      <c r="AJ185" t="str">
        <f t="shared" si="9"/>
        <v/>
      </c>
    </row>
    <row r="186" spans="2:36" x14ac:dyDescent="0.25">
      <c r="B186" s="277" t="s">
        <v>2505</v>
      </c>
      <c r="C186" s="402">
        <f>IF($C$173&gt;0,"Included",0)</f>
        <v>0</v>
      </c>
      <c r="D186" s="277" t="s">
        <v>2512</v>
      </c>
      <c r="E186" s="401">
        <f>$C$175</f>
        <v>0</v>
      </c>
      <c r="F186" s="281"/>
      <c r="AJ186" t="str">
        <f t="shared" si="9"/>
        <v/>
      </c>
    </row>
    <row r="187" spans="2:36" x14ac:dyDescent="0.25">
      <c r="B187" s="277" t="s">
        <v>2506</v>
      </c>
      <c r="C187" s="402">
        <f>IF($C$173=50000,10000,IF($C$173=100000,20000,0))</f>
        <v>0</v>
      </c>
      <c r="D187" s="277" t="s">
        <v>2513</v>
      </c>
      <c r="E187" s="401">
        <f>$C$175</f>
        <v>0</v>
      </c>
      <c r="F187" s="281"/>
      <c r="AJ187" t="str">
        <f t="shared" si="9"/>
        <v/>
      </c>
    </row>
    <row r="188" spans="2:36" x14ac:dyDescent="0.25">
      <c r="B188" s="277" t="s">
        <v>2507</v>
      </c>
      <c r="C188" s="402">
        <f>IF($C$173=50000,5000,IF($C$173=100000,10000,0))</f>
        <v>0</v>
      </c>
      <c r="D188" s="277" t="s">
        <v>2514</v>
      </c>
      <c r="E188" s="401">
        <f>IF($C$175&gt;0,$C$175*10%,0)</f>
        <v>0</v>
      </c>
      <c r="F188" s="281"/>
      <c r="AJ188" t="str">
        <f t="shared" si="9"/>
        <v/>
      </c>
    </row>
    <row r="189" spans="2:36" x14ac:dyDescent="0.25">
      <c r="B189" s="277" t="s">
        <v>2508</v>
      </c>
      <c r="C189" s="402">
        <f>IF($C$173=50000,50000,IF($C$173=100000,100000,0))</f>
        <v>0</v>
      </c>
      <c r="D189" s="277" t="s">
        <v>2515</v>
      </c>
      <c r="E189" s="401">
        <f>IF(C174="3rd",C175,0)</f>
        <v>0</v>
      </c>
      <c r="F189" s="281"/>
      <c r="AJ189" t="str">
        <f t="shared" si="9"/>
        <v/>
      </c>
    </row>
    <row r="190" spans="2:36" x14ac:dyDescent="0.25">
      <c r="B190" s="277" t="s">
        <v>2509</v>
      </c>
      <c r="C190" s="402">
        <f>IF($C$173&gt;0,"Included",0)</f>
        <v>0</v>
      </c>
      <c r="D190" s="277"/>
      <c r="E190" s="277"/>
      <c r="F190" s="281"/>
      <c r="AJ190" t="str">
        <f t="shared" si="9"/>
        <v/>
      </c>
    </row>
    <row r="191" spans="2:36" x14ac:dyDescent="0.25">
      <c r="B191" s="277"/>
      <c r="C191" s="277"/>
      <c r="D191" s="277"/>
      <c r="E191" s="277"/>
      <c r="F191" s="281"/>
      <c r="AJ191" t="str">
        <f t="shared" si="9"/>
        <v/>
      </c>
    </row>
    <row r="192" spans="2:36" x14ac:dyDescent="0.25">
      <c r="B192" s="277"/>
      <c r="C192" s="277"/>
      <c r="D192" s="277"/>
      <c r="E192" s="277"/>
      <c r="F192" s="281"/>
      <c r="AJ192" t="str">
        <f t="shared" si="9"/>
        <v/>
      </c>
    </row>
    <row r="193" spans="1:36" x14ac:dyDescent="0.25">
      <c r="B193" s="277"/>
      <c r="C193" s="277"/>
      <c r="D193" s="277"/>
      <c r="E193" s="277"/>
      <c r="F193" s="281"/>
      <c r="AJ193" t="str">
        <f t="shared" si="9"/>
        <v/>
      </c>
    </row>
    <row r="194" spans="1:36" x14ac:dyDescent="0.25">
      <c r="B194" s="283" t="s">
        <v>1212</v>
      </c>
      <c r="C194" s="283"/>
      <c r="D194" s="283"/>
      <c r="E194" s="283"/>
      <c r="F194" s="284"/>
      <c r="AJ194" t="str">
        <f t="shared" si="9"/>
        <v/>
      </c>
    </row>
    <row r="195" spans="1:36" x14ac:dyDescent="0.25">
      <c r="B195" s="283" t="s">
        <v>1211</v>
      </c>
      <c r="C195" s="283"/>
      <c r="D195" s="283"/>
      <c r="E195" s="283"/>
      <c r="F195" s="284"/>
      <c r="AJ195" t="str">
        <f t="shared" si="9"/>
        <v/>
      </c>
    </row>
    <row r="196" spans="1:36" x14ac:dyDescent="0.25">
      <c r="B196" s="283" t="s">
        <v>1209</v>
      </c>
      <c r="C196" s="283"/>
      <c r="D196" s="283"/>
      <c r="E196" s="283"/>
      <c r="F196" s="284"/>
      <c r="AJ196" t="str">
        <f t="shared" si="9"/>
        <v/>
      </c>
    </row>
    <row r="197" spans="1:36" x14ac:dyDescent="0.25">
      <c r="B197" s="283" t="s">
        <v>1210</v>
      </c>
      <c r="C197" s="283"/>
      <c r="D197" s="283"/>
      <c r="E197" s="283"/>
      <c r="F197" s="284"/>
      <c r="AJ197" t="str">
        <f t="shared" si="9"/>
        <v/>
      </c>
    </row>
    <row r="198" spans="1:36" x14ac:dyDescent="0.25">
      <c r="B198" s="282"/>
      <c r="C198" s="277"/>
      <c r="D198" s="277"/>
      <c r="E198" s="277"/>
      <c r="F198" s="281"/>
      <c r="AJ198" t="str">
        <f t="shared" si="9"/>
        <v/>
      </c>
    </row>
    <row r="199" spans="1:36" x14ac:dyDescent="0.25">
      <c r="B199" s="282"/>
      <c r="C199" s="277"/>
      <c r="D199" s="277"/>
      <c r="E199" s="277"/>
      <c r="F199" s="281"/>
      <c r="AJ199" t="str">
        <f t="shared" si="9"/>
        <v/>
      </c>
    </row>
    <row r="200" spans="1:36" s="266" customFormat="1" ht="18.75" x14ac:dyDescent="0.3">
      <c r="A200" s="265">
        <v>12</v>
      </c>
      <c r="B200" s="265" t="s">
        <v>1274</v>
      </c>
      <c r="AE200" s="175"/>
      <c r="AF200" s="175"/>
      <c r="AG200" s="175"/>
      <c r="AH200" s="457"/>
      <c r="AI200" s="175"/>
      <c r="AJ200" s="266" t="str">
        <f t="shared" si="9"/>
        <v/>
      </c>
    </row>
    <row r="201" spans="1:36" ht="18.75" x14ac:dyDescent="0.3">
      <c r="B201" s="282"/>
      <c r="C201" s="277"/>
      <c r="D201" s="277"/>
      <c r="E201" s="277"/>
      <c r="F201" s="281"/>
      <c r="AE201" s="457"/>
      <c r="AF201" s="457"/>
      <c r="AG201" s="457"/>
      <c r="AJ201" s="266" t="str">
        <f t="shared" si="9"/>
        <v/>
      </c>
    </row>
    <row r="202" spans="1:36" x14ac:dyDescent="0.25">
      <c r="B202" s="282" t="s">
        <v>1279</v>
      </c>
      <c r="C202" s="277"/>
      <c r="D202" s="277"/>
      <c r="E202" s="277"/>
      <c r="F202" s="290" t="str">
        <f>IF(F217&gt;0,"Quote","Refer")</f>
        <v>Quote</v>
      </c>
    </row>
    <row r="203" spans="1:36" x14ac:dyDescent="0.25">
      <c r="B203" s="282" t="s">
        <v>1280</v>
      </c>
      <c r="C203" s="277"/>
      <c r="D203" s="277"/>
      <c r="E203" s="277"/>
      <c r="F203" s="290"/>
    </row>
    <row r="204" spans="1:36" x14ac:dyDescent="0.25">
      <c r="B204" s="277"/>
      <c r="C204" s="277"/>
      <c r="D204" s="277"/>
      <c r="E204" s="277"/>
      <c r="F204" s="281"/>
    </row>
    <row r="205" spans="1:36" s="266" customFormat="1" ht="18.75" x14ac:dyDescent="0.3">
      <c r="A205" s="265">
        <v>13</v>
      </c>
      <c r="B205" s="265" t="s">
        <v>1190</v>
      </c>
      <c r="AE205" s="175"/>
      <c r="AF205" s="175"/>
      <c r="AG205" s="175"/>
      <c r="AH205" s="457"/>
      <c r="AI205" s="457"/>
    </row>
    <row r="206" spans="1:36" ht="18.75" x14ac:dyDescent="0.3">
      <c r="AE206" s="457"/>
      <c r="AF206" s="457"/>
      <c r="AG206" s="457"/>
    </row>
    <row r="207" spans="1:36" x14ac:dyDescent="0.25">
      <c r="A207" t="s">
        <v>1183</v>
      </c>
      <c r="F207" s="100">
        <f>SUM(F142,F122,F98,F82,F74,F63,F52)</f>
        <v>0</v>
      </c>
    </row>
    <row r="208" spans="1:36" x14ac:dyDescent="0.25">
      <c r="A208" t="s">
        <v>1184</v>
      </c>
      <c r="F208" s="100" t="str">
        <f>G22</f>
        <v>N/A</v>
      </c>
    </row>
    <row r="209" spans="1:8" x14ac:dyDescent="0.25">
      <c r="A209" t="s">
        <v>1213</v>
      </c>
      <c r="F209" s="100">
        <f>F181</f>
        <v>0</v>
      </c>
    </row>
    <row r="210" spans="1:8" ht="15.75" thickBot="1" x14ac:dyDescent="0.3">
      <c r="A210" t="s">
        <v>1269</v>
      </c>
      <c r="F210" s="100">
        <f>F168</f>
        <v>0</v>
      </c>
    </row>
    <row r="211" spans="1:8" ht="16.5" thickTop="1" thickBot="1" x14ac:dyDescent="0.3">
      <c r="A211" s="285" t="s">
        <v>1166</v>
      </c>
      <c r="B211" s="285"/>
      <c r="C211" s="285"/>
      <c r="D211" s="285"/>
      <c r="E211" s="285"/>
      <c r="F211" s="286">
        <f>SUM(F207:F210)</f>
        <v>0</v>
      </c>
    </row>
    <row r="212" spans="1:8" x14ac:dyDescent="0.25">
      <c r="A212" t="s">
        <v>40</v>
      </c>
      <c r="F212">
        <v>725</v>
      </c>
      <c r="H212" t="s">
        <v>3657</v>
      </c>
    </row>
    <row r="213" spans="1:8" x14ac:dyDescent="0.25">
      <c r="A213" t="s">
        <v>1181</v>
      </c>
      <c r="F213">
        <f>IF(F211&lt;F212,F212-F211+F207,F207)</f>
        <v>725</v>
      </c>
    </row>
    <row r="214" spans="1:8" x14ac:dyDescent="0.25">
      <c r="A214" t="s">
        <v>1182</v>
      </c>
      <c r="F214" s="100" t="str">
        <f>F208</f>
        <v>N/A</v>
      </c>
    </row>
    <row r="215" spans="1:8" x14ac:dyDescent="0.25">
      <c r="A215" t="s">
        <v>1214</v>
      </c>
      <c r="F215" s="100">
        <f>F209</f>
        <v>0</v>
      </c>
    </row>
    <row r="216" spans="1:8" x14ac:dyDescent="0.25">
      <c r="A216" t="s">
        <v>1270</v>
      </c>
      <c r="F216" s="100">
        <f>F210</f>
        <v>0</v>
      </c>
    </row>
    <row r="217" spans="1:8" x14ac:dyDescent="0.25">
      <c r="A217" s="276" t="s">
        <v>1185</v>
      </c>
      <c r="B217" s="276"/>
      <c r="C217" s="276"/>
      <c r="D217" s="276"/>
      <c r="E217" s="276"/>
      <c r="F217" s="276">
        <f>SUM(F213:F216)</f>
        <v>725</v>
      </c>
    </row>
  </sheetData>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rgb="FFFFFF00"/>
  </sheetPr>
  <dimension ref="A1:F70"/>
  <sheetViews>
    <sheetView workbookViewId="0">
      <pane xSplit="1" ySplit="1" topLeftCell="B26" activePane="bottomRight" state="frozen"/>
      <selection pane="topRight" activeCell="B1" sqref="B1"/>
      <selection pane="bottomLeft" activeCell="A2" sqref="A2"/>
      <selection pane="bottomRight" activeCell="C44" sqref="C44:C46"/>
    </sheetView>
  </sheetViews>
  <sheetFormatPr defaultRowHeight="15" x14ac:dyDescent="0.25"/>
  <cols>
    <col min="1" max="1" width="22.28515625" bestFit="1" customWidth="1"/>
    <col min="2" max="2" width="20.7109375" bestFit="1" customWidth="1"/>
    <col min="3" max="3" width="27.42578125" bestFit="1" customWidth="1"/>
    <col min="4" max="4" width="35" customWidth="1"/>
    <col min="5" max="5" width="34.85546875" customWidth="1"/>
  </cols>
  <sheetData>
    <row r="1" spans="1:5" x14ac:dyDescent="0.25">
      <c r="A1" s="137" t="s">
        <v>642</v>
      </c>
      <c r="B1" s="137" t="s">
        <v>1</v>
      </c>
      <c r="C1" s="137" t="s">
        <v>5</v>
      </c>
      <c r="D1" s="137" t="s">
        <v>935</v>
      </c>
      <c r="E1" s="137" t="s">
        <v>936</v>
      </c>
    </row>
    <row r="2" spans="1:5" x14ac:dyDescent="0.25">
      <c r="A2" s="138" t="s">
        <v>553</v>
      </c>
      <c r="B2" s="138" t="s">
        <v>2</v>
      </c>
      <c r="C2" s="138" t="s">
        <v>6</v>
      </c>
      <c r="D2" s="138">
        <v>0.08</v>
      </c>
      <c r="E2" s="138">
        <v>0.08</v>
      </c>
    </row>
    <row r="3" spans="1:5" x14ac:dyDescent="0.25">
      <c r="A3" s="138" t="s">
        <v>553</v>
      </c>
      <c r="B3" s="138" t="s">
        <v>3</v>
      </c>
      <c r="C3" s="138" t="s">
        <v>6</v>
      </c>
      <c r="D3" s="138">
        <v>0.17</v>
      </c>
      <c r="E3" s="138">
        <v>0.17</v>
      </c>
    </row>
    <row r="4" spans="1:5" x14ac:dyDescent="0.25">
      <c r="A4" s="138" t="s">
        <v>553</v>
      </c>
      <c r="B4" s="138" t="s">
        <v>4</v>
      </c>
      <c r="C4" s="138" t="s">
        <v>6</v>
      </c>
      <c r="D4" s="138">
        <v>0.34</v>
      </c>
      <c r="E4" s="138">
        <v>0.34</v>
      </c>
    </row>
    <row r="5" spans="1:5" x14ac:dyDescent="0.25">
      <c r="A5" s="138" t="s">
        <v>553</v>
      </c>
      <c r="B5" s="138" t="s">
        <v>2</v>
      </c>
      <c r="C5" s="138" t="s">
        <v>7</v>
      </c>
      <c r="D5" s="138">
        <v>0.17</v>
      </c>
      <c r="E5" s="138">
        <v>0.17</v>
      </c>
    </row>
    <row r="6" spans="1:5" x14ac:dyDescent="0.25">
      <c r="A6" s="138" t="s">
        <v>553</v>
      </c>
      <c r="B6" s="138" t="s">
        <v>3</v>
      </c>
      <c r="C6" s="138" t="s">
        <v>7</v>
      </c>
      <c r="D6" s="138">
        <v>0.22</v>
      </c>
      <c r="E6" s="138">
        <v>0.22</v>
      </c>
    </row>
    <row r="7" spans="1:5" x14ac:dyDescent="0.25">
      <c r="A7" s="138" t="s">
        <v>553</v>
      </c>
      <c r="B7" s="138" t="s">
        <v>4</v>
      </c>
      <c r="C7" s="138" t="s">
        <v>7</v>
      </c>
      <c r="D7" s="138">
        <v>0.38</v>
      </c>
      <c r="E7" s="138">
        <v>0.38</v>
      </c>
    </row>
    <row r="8" spans="1:5" x14ac:dyDescent="0.25">
      <c r="A8" s="138" t="s">
        <v>553</v>
      </c>
      <c r="B8" s="138" t="s">
        <v>2</v>
      </c>
      <c r="C8" s="138" t="s">
        <v>8</v>
      </c>
      <c r="D8" s="138">
        <v>0.24</v>
      </c>
      <c r="E8" s="138">
        <v>0.24</v>
      </c>
    </row>
    <row r="9" spans="1:5" x14ac:dyDescent="0.25">
      <c r="A9" s="138" t="s">
        <v>553</v>
      </c>
      <c r="B9" s="138" t="s">
        <v>3</v>
      </c>
      <c r="C9" s="138" t="s">
        <v>8</v>
      </c>
      <c r="D9" s="138">
        <v>0.38</v>
      </c>
      <c r="E9" s="138">
        <v>0.38</v>
      </c>
    </row>
    <row r="10" spans="1:5" x14ac:dyDescent="0.25">
      <c r="A10" s="138" t="s">
        <v>553</v>
      </c>
      <c r="B10" s="138" t="s">
        <v>4</v>
      </c>
      <c r="C10" s="138" t="s">
        <v>8</v>
      </c>
      <c r="D10" s="138">
        <v>0.44</v>
      </c>
      <c r="E10" s="138">
        <v>0.44</v>
      </c>
    </row>
    <row r="11" spans="1:5" x14ac:dyDescent="0.25">
      <c r="A11" s="138" t="s">
        <v>556</v>
      </c>
      <c r="B11" s="138" t="s">
        <v>2</v>
      </c>
      <c r="C11" s="138" t="s">
        <v>6</v>
      </c>
      <c r="D11" s="138">
        <v>0.12</v>
      </c>
      <c r="E11" s="138">
        <v>0.19</v>
      </c>
    </row>
    <row r="12" spans="1:5" x14ac:dyDescent="0.25">
      <c r="A12" s="138" t="s">
        <v>556</v>
      </c>
      <c r="B12" s="138" t="s">
        <v>3</v>
      </c>
      <c r="C12" s="138" t="s">
        <v>6</v>
      </c>
      <c r="D12" s="138">
        <v>0.14000000000000001</v>
      </c>
      <c r="E12" s="138">
        <v>0.22</v>
      </c>
    </row>
    <row r="13" spans="1:5" x14ac:dyDescent="0.25">
      <c r="A13" s="138" t="s">
        <v>556</v>
      </c>
      <c r="B13" s="138" t="s">
        <v>4</v>
      </c>
      <c r="C13" s="138" t="s">
        <v>6</v>
      </c>
      <c r="D13" s="138">
        <v>0.19</v>
      </c>
      <c r="E13" s="138">
        <v>0.24</v>
      </c>
    </row>
    <row r="14" spans="1:5" x14ac:dyDescent="0.25">
      <c r="A14" s="138" t="s">
        <v>556</v>
      </c>
      <c r="B14" s="138" t="s">
        <v>2</v>
      </c>
      <c r="C14" s="138" t="s">
        <v>7</v>
      </c>
      <c r="D14" s="138">
        <v>0.15</v>
      </c>
      <c r="E14" s="138">
        <v>0.21</v>
      </c>
    </row>
    <row r="15" spans="1:5" x14ac:dyDescent="0.25">
      <c r="A15" s="138" t="s">
        <v>556</v>
      </c>
      <c r="B15" s="138" t="s">
        <v>3</v>
      </c>
      <c r="C15" s="138" t="s">
        <v>7</v>
      </c>
      <c r="D15" s="138">
        <v>0.19</v>
      </c>
      <c r="E15" s="138">
        <v>0.25</v>
      </c>
    </row>
    <row r="16" spans="1:5" x14ac:dyDescent="0.25">
      <c r="A16" s="138" t="s">
        <v>556</v>
      </c>
      <c r="B16" s="138" t="s">
        <v>4</v>
      </c>
      <c r="C16" s="138" t="s">
        <v>7</v>
      </c>
      <c r="D16" s="138">
        <v>0.24</v>
      </c>
      <c r="E16" s="138">
        <v>0.31</v>
      </c>
    </row>
    <row r="17" spans="1:5" x14ac:dyDescent="0.25">
      <c r="A17" s="138" t="s">
        <v>556</v>
      </c>
      <c r="B17" s="138" t="s">
        <v>2</v>
      </c>
      <c r="C17" s="138" t="s">
        <v>8</v>
      </c>
      <c r="D17" s="138">
        <v>0.21</v>
      </c>
      <c r="E17" s="138">
        <v>0.26</v>
      </c>
    </row>
    <row r="18" spans="1:5" x14ac:dyDescent="0.25">
      <c r="A18" s="138" t="s">
        <v>556</v>
      </c>
      <c r="B18" s="138" t="s">
        <v>3</v>
      </c>
      <c r="C18" s="138" t="s">
        <v>8</v>
      </c>
      <c r="D18" s="138">
        <v>0.25</v>
      </c>
      <c r="E18" s="138">
        <v>0.33</v>
      </c>
    </row>
    <row r="19" spans="1:5" x14ac:dyDescent="0.25">
      <c r="A19" s="138" t="s">
        <v>556</v>
      </c>
      <c r="B19" s="138" t="s">
        <v>4</v>
      </c>
      <c r="C19" s="138" t="s">
        <v>8</v>
      </c>
      <c r="D19" s="138">
        <v>0.31</v>
      </c>
      <c r="E19" s="138">
        <v>0.36</v>
      </c>
    </row>
    <row r="20" spans="1:5" x14ac:dyDescent="0.25">
      <c r="A20" s="138" t="s">
        <v>297</v>
      </c>
      <c r="B20" s="138" t="s">
        <v>2</v>
      </c>
      <c r="C20" s="138" t="s">
        <v>6</v>
      </c>
      <c r="D20" s="138">
        <v>0.3</v>
      </c>
      <c r="E20" s="138">
        <v>0.3</v>
      </c>
    </row>
    <row r="21" spans="1:5" x14ac:dyDescent="0.25">
      <c r="A21" s="138" t="s">
        <v>297</v>
      </c>
      <c r="B21" s="138" t="s">
        <v>3</v>
      </c>
      <c r="C21" s="138" t="s">
        <v>6</v>
      </c>
      <c r="D21" s="138">
        <v>0.35</v>
      </c>
      <c r="E21" s="138">
        <v>0.35</v>
      </c>
    </row>
    <row r="22" spans="1:5" x14ac:dyDescent="0.25">
      <c r="A22" s="138" t="s">
        <v>297</v>
      </c>
      <c r="B22" s="138" t="s">
        <v>4</v>
      </c>
      <c r="C22" s="138" t="s">
        <v>6</v>
      </c>
      <c r="D22" s="138">
        <v>0.45</v>
      </c>
      <c r="E22" s="138">
        <v>0.45</v>
      </c>
    </row>
    <row r="23" spans="1:5" x14ac:dyDescent="0.25">
      <c r="A23" s="138" t="s">
        <v>297</v>
      </c>
      <c r="B23" s="138" t="s">
        <v>2</v>
      </c>
      <c r="C23" s="138" t="s">
        <v>7</v>
      </c>
      <c r="D23" s="138">
        <v>0.35</v>
      </c>
      <c r="E23" s="138">
        <v>0.35</v>
      </c>
    </row>
    <row r="24" spans="1:5" x14ac:dyDescent="0.25">
      <c r="A24" s="138" t="s">
        <v>297</v>
      </c>
      <c r="B24" s="138" t="s">
        <v>3</v>
      </c>
      <c r="C24" s="138" t="s">
        <v>7</v>
      </c>
      <c r="D24" s="138">
        <v>0.4</v>
      </c>
      <c r="E24" s="138">
        <v>0.4</v>
      </c>
    </row>
    <row r="25" spans="1:5" x14ac:dyDescent="0.25">
      <c r="A25" s="138" t="s">
        <v>297</v>
      </c>
      <c r="B25" s="138" t="s">
        <v>4</v>
      </c>
      <c r="C25" s="138" t="s">
        <v>7</v>
      </c>
      <c r="D25" s="138">
        <v>0.5</v>
      </c>
      <c r="E25" s="138">
        <v>0.5</v>
      </c>
    </row>
    <row r="26" spans="1:5" x14ac:dyDescent="0.25">
      <c r="A26" s="138" t="s">
        <v>297</v>
      </c>
      <c r="B26" s="138" t="s">
        <v>2</v>
      </c>
      <c r="C26" s="138" t="s">
        <v>8</v>
      </c>
      <c r="D26" s="138">
        <v>0.4</v>
      </c>
      <c r="E26" s="138">
        <v>0.4</v>
      </c>
    </row>
    <row r="27" spans="1:5" x14ac:dyDescent="0.25">
      <c r="A27" s="138" t="s">
        <v>297</v>
      </c>
      <c r="B27" s="138" t="s">
        <v>3</v>
      </c>
      <c r="C27" s="138" t="s">
        <v>8</v>
      </c>
      <c r="D27" s="138">
        <v>0.45</v>
      </c>
      <c r="E27" s="138">
        <v>0.45</v>
      </c>
    </row>
    <row r="28" spans="1:5" x14ac:dyDescent="0.25">
      <c r="A28" s="138" t="s">
        <v>297</v>
      </c>
      <c r="B28" s="138" t="s">
        <v>4</v>
      </c>
      <c r="C28" s="138" t="s">
        <v>8</v>
      </c>
      <c r="D28" s="138">
        <v>0.55000000000000004</v>
      </c>
      <c r="E28" s="138">
        <v>0.55000000000000004</v>
      </c>
    </row>
    <row r="29" spans="1:5" ht="30" x14ac:dyDescent="0.25">
      <c r="A29" s="138" t="s">
        <v>446</v>
      </c>
      <c r="B29" s="138" t="s">
        <v>2</v>
      </c>
      <c r="C29" s="138" t="s">
        <v>6</v>
      </c>
      <c r="D29" s="2" t="s">
        <v>447</v>
      </c>
      <c r="E29" s="2" t="s">
        <v>447</v>
      </c>
    </row>
    <row r="30" spans="1:5" ht="30" customHeight="1" x14ac:dyDescent="0.25">
      <c r="A30" s="138" t="s">
        <v>446</v>
      </c>
      <c r="B30" s="138" t="s">
        <v>3</v>
      </c>
      <c r="C30" s="138" t="s">
        <v>6</v>
      </c>
      <c r="D30" s="2" t="s">
        <v>448</v>
      </c>
      <c r="E30" s="2" t="s">
        <v>448</v>
      </c>
    </row>
    <row r="31" spans="1:5" ht="30" customHeight="1" x14ac:dyDescent="0.25">
      <c r="A31" s="138" t="s">
        <v>446</v>
      </c>
      <c r="B31" s="138" t="s">
        <v>4</v>
      </c>
      <c r="C31" s="138" t="s">
        <v>6</v>
      </c>
      <c r="D31" s="2" t="s">
        <v>449</v>
      </c>
      <c r="E31" s="2" t="s">
        <v>449</v>
      </c>
    </row>
    <row r="32" spans="1:5" ht="30" customHeight="1" x14ac:dyDescent="0.25">
      <c r="A32" s="138" t="s">
        <v>446</v>
      </c>
      <c r="B32" s="138" t="s">
        <v>2</v>
      </c>
      <c r="C32" s="138" t="s">
        <v>7</v>
      </c>
      <c r="D32" s="2" t="s">
        <v>454</v>
      </c>
      <c r="E32" s="2" t="s">
        <v>454</v>
      </c>
    </row>
    <row r="33" spans="1:5" ht="30" customHeight="1" x14ac:dyDescent="0.25">
      <c r="A33" s="138" t="s">
        <v>446</v>
      </c>
      <c r="B33" s="138" t="s">
        <v>3</v>
      </c>
      <c r="C33" s="138" t="s">
        <v>7</v>
      </c>
      <c r="D33" s="2" t="s">
        <v>455</v>
      </c>
      <c r="E33" s="2" t="s">
        <v>455</v>
      </c>
    </row>
    <row r="34" spans="1:5" ht="30" customHeight="1" x14ac:dyDescent="0.25">
      <c r="A34" s="138" t="s">
        <v>446</v>
      </c>
      <c r="B34" s="138" t="s">
        <v>4</v>
      </c>
      <c r="C34" s="138" t="s">
        <v>7</v>
      </c>
      <c r="D34" s="2" t="s">
        <v>450</v>
      </c>
      <c r="E34" s="2" t="s">
        <v>450</v>
      </c>
    </row>
    <row r="35" spans="1:5" ht="30" customHeight="1" x14ac:dyDescent="0.25">
      <c r="A35" s="138" t="s">
        <v>446</v>
      </c>
      <c r="B35" s="138" t="s">
        <v>2</v>
      </c>
      <c r="C35" s="138" t="s">
        <v>8</v>
      </c>
      <c r="D35" s="2" t="s">
        <v>451</v>
      </c>
      <c r="E35" s="2" t="s">
        <v>451</v>
      </c>
    </row>
    <row r="36" spans="1:5" ht="30" customHeight="1" x14ac:dyDescent="0.25">
      <c r="A36" s="138" t="s">
        <v>446</v>
      </c>
      <c r="B36" s="138" t="s">
        <v>3</v>
      </c>
      <c r="C36" s="138" t="s">
        <v>8</v>
      </c>
      <c r="D36" s="2" t="s">
        <v>452</v>
      </c>
      <c r="E36" s="2" t="s">
        <v>452</v>
      </c>
    </row>
    <row r="37" spans="1:5" ht="30" customHeight="1" x14ac:dyDescent="0.25">
      <c r="A37" s="138" t="s">
        <v>446</v>
      </c>
      <c r="B37" s="138" t="s">
        <v>4</v>
      </c>
      <c r="C37" s="138" t="s">
        <v>8</v>
      </c>
      <c r="D37" s="2" t="s">
        <v>453</v>
      </c>
      <c r="E37" s="2" t="s">
        <v>453</v>
      </c>
    </row>
    <row r="38" spans="1:5" x14ac:dyDescent="0.25">
      <c r="A38" s="138" t="s">
        <v>347</v>
      </c>
      <c r="B38" s="138" t="s">
        <v>2</v>
      </c>
      <c r="C38" s="138" t="s">
        <v>6</v>
      </c>
      <c r="D38" s="138">
        <v>0.1</v>
      </c>
      <c r="E38" s="138">
        <v>0.4</v>
      </c>
    </row>
    <row r="39" spans="1:5" x14ac:dyDescent="0.25">
      <c r="A39" s="138" t="s">
        <v>347</v>
      </c>
      <c r="B39" s="138" t="s">
        <v>2</v>
      </c>
      <c r="C39" s="138" t="s">
        <v>7</v>
      </c>
      <c r="D39" s="138">
        <v>0.2</v>
      </c>
      <c r="E39" s="138">
        <v>0.5</v>
      </c>
    </row>
    <row r="40" spans="1:5" x14ac:dyDescent="0.25">
      <c r="A40" s="138" t="s">
        <v>347</v>
      </c>
      <c r="B40" s="138" t="s">
        <v>2</v>
      </c>
      <c r="C40" s="138" t="s">
        <v>8</v>
      </c>
      <c r="D40" s="138">
        <v>0.3</v>
      </c>
      <c r="E40" s="138">
        <v>0.6</v>
      </c>
    </row>
    <row r="41" spans="1:5" x14ac:dyDescent="0.25">
      <c r="A41" s="138" t="s">
        <v>347</v>
      </c>
      <c r="B41" s="138" t="s">
        <v>3</v>
      </c>
      <c r="C41" s="138" t="s">
        <v>6</v>
      </c>
      <c r="D41" s="138">
        <v>0.15</v>
      </c>
      <c r="E41" s="138">
        <v>0.5</v>
      </c>
    </row>
    <row r="42" spans="1:5" x14ac:dyDescent="0.25">
      <c r="A42" s="138" t="s">
        <v>347</v>
      </c>
      <c r="B42" s="138" t="s">
        <v>3</v>
      </c>
      <c r="C42" s="138" t="s">
        <v>7</v>
      </c>
      <c r="D42" s="138">
        <v>0.3</v>
      </c>
      <c r="E42" s="138">
        <v>0.7</v>
      </c>
    </row>
    <row r="43" spans="1:5" x14ac:dyDescent="0.25">
      <c r="A43" s="138" t="s">
        <v>347</v>
      </c>
      <c r="B43" s="138" t="s">
        <v>3</v>
      </c>
      <c r="C43" s="138" t="s">
        <v>8</v>
      </c>
      <c r="D43" s="138">
        <v>0.75</v>
      </c>
      <c r="E43" s="138">
        <v>1.1000000000000001</v>
      </c>
    </row>
    <row r="44" spans="1:5" x14ac:dyDescent="0.25">
      <c r="A44" s="138" t="s">
        <v>347</v>
      </c>
      <c r="B44" s="138" t="s">
        <v>4</v>
      </c>
      <c r="C44" s="138" t="s">
        <v>6</v>
      </c>
      <c r="D44" s="138">
        <v>0.4</v>
      </c>
      <c r="E44" s="138">
        <v>0.9</v>
      </c>
    </row>
    <row r="45" spans="1:5" x14ac:dyDescent="0.25">
      <c r="A45" s="138" t="s">
        <v>347</v>
      </c>
      <c r="B45" s="138" t="s">
        <v>4</v>
      </c>
      <c r="C45" s="138" t="s">
        <v>7</v>
      </c>
      <c r="D45" s="138">
        <v>0.7</v>
      </c>
      <c r="E45" s="138">
        <v>1.3</v>
      </c>
    </row>
    <row r="46" spans="1:5" x14ac:dyDescent="0.25">
      <c r="A46" s="138" t="s">
        <v>347</v>
      </c>
      <c r="B46" s="138" t="s">
        <v>4</v>
      </c>
      <c r="C46" s="138" t="s">
        <v>8</v>
      </c>
      <c r="D46" s="138">
        <v>1.4</v>
      </c>
      <c r="E46" s="138">
        <v>1.6</v>
      </c>
    </row>
    <row r="47" spans="1:5" x14ac:dyDescent="0.25">
      <c r="A47" s="138" t="s">
        <v>421</v>
      </c>
      <c r="B47" s="138" t="s">
        <v>2</v>
      </c>
      <c r="C47" s="138" t="s">
        <v>6</v>
      </c>
      <c r="D47" s="138">
        <v>0.1</v>
      </c>
      <c r="E47" s="138">
        <v>0.4</v>
      </c>
    </row>
    <row r="48" spans="1:5" x14ac:dyDescent="0.25">
      <c r="A48" s="138" t="s">
        <v>421</v>
      </c>
      <c r="B48" s="138" t="s">
        <v>3</v>
      </c>
      <c r="C48" s="138" t="s">
        <v>6</v>
      </c>
      <c r="D48" s="138">
        <v>0.15</v>
      </c>
      <c r="E48" s="138">
        <v>0.5</v>
      </c>
    </row>
    <row r="49" spans="1:6" x14ac:dyDescent="0.25">
      <c r="A49" s="138" t="s">
        <v>421</v>
      </c>
      <c r="B49" s="138" t="s">
        <v>4</v>
      </c>
      <c r="C49" s="138" t="s">
        <v>6</v>
      </c>
      <c r="D49" s="138">
        <v>0.4</v>
      </c>
      <c r="E49" s="138">
        <v>0.9</v>
      </c>
    </row>
    <row r="50" spans="1:6" x14ac:dyDescent="0.25">
      <c r="A50" s="138" t="s">
        <v>421</v>
      </c>
      <c r="B50" s="138" t="s">
        <v>2</v>
      </c>
      <c r="C50" s="138" t="s">
        <v>7</v>
      </c>
      <c r="D50" s="138">
        <v>0.2</v>
      </c>
      <c r="E50" s="138">
        <v>0.5</v>
      </c>
    </row>
    <row r="51" spans="1:6" x14ac:dyDescent="0.25">
      <c r="A51" s="138" t="s">
        <v>421</v>
      </c>
      <c r="B51" s="138" t="s">
        <v>3</v>
      </c>
      <c r="C51" s="138" t="s">
        <v>7</v>
      </c>
      <c r="D51" s="138">
        <v>0.3</v>
      </c>
      <c r="E51" s="138">
        <v>0.7</v>
      </c>
    </row>
    <row r="52" spans="1:6" x14ac:dyDescent="0.25">
      <c r="A52" s="138" t="s">
        <v>421</v>
      </c>
      <c r="B52" s="138" t="s">
        <v>4</v>
      </c>
      <c r="C52" s="138" t="s">
        <v>7</v>
      </c>
      <c r="D52" s="138">
        <v>0.7</v>
      </c>
      <c r="E52" s="138">
        <v>1.3</v>
      </c>
    </row>
    <row r="53" spans="1:6" x14ac:dyDescent="0.25">
      <c r="A53" s="138" t="s">
        <v>421</v>
      </c>
      <c r="B53" s="138" t="s">
        <v>2</v>
      </c>
      <c r="C53" s="138" t="s">
        <v>8</v>
      </c>
      <c r="D53" s="138">
        <v>0.3</v>
      </c>
      <c r="E53" s="138">
        <v>0.6</v>
      </c>
    </row>
    <row r="54" spans="1:6" x14ac:dyDescent="0.25">
      <c r="A54" s="138" t="s">
        <v>421</v>
      </c>
      <c r="B54" s="138" t="s">
        <v>3</v>
      </c>
      <c r="C54" s="138" t="s">
        <v>8</v>
      </c>
      <c r="D54" s="138">
        <v>0.75</v>
      </c>
      <c r="E54" s="138">
        <v>1.1000000000000001</v>
      </c>
    </row>
    <row r="55" spans="1:6" x14ac:dyDescent="0.25">
      <c r="A55" s="138" t="s">
        <v>421</v>
      </c>
      <c r="B55" s="138" t="s">
        <v>4</v>
      </c>
      <c r="C55" s="138" t="s">
        <v>8</v>
      </c>
      <c r="D55" s="138">
        <v>1.4</v>
      </c>
      <c r="E55" s="138">
        <v>1.6</v>
      </c>
    </row>
    <row r="56" spans="1:6" x14ac:dyDescent="0.25">
      <c r="A56" s="138" t="s">
        <v>570</v>
      </c>
      <c r="B56" s="138" t="s">
        <v>198</v>
      </c>
      <c r="C56" s="159" t="s">
        <v>46</v>
      </c>
      <c r="D56" s="159">
        <v>0.24</v>
      </c>
      <c r="E56" s="179">
        <v>50</v>
      </c>
      <c r="F56" s="180" t="s">
        <v>937</v>
      </c>
    </row>
    <row r="57" spans="1:6" x14ac:dyDescent="0.25">
      <c r="A57" s="138" t="s">
        <v>570</v>
      </c>
      <c r="B57" s="138" t="s">
        <v>474</v>
      </c>
      <c r="C57" s="159" t="s">
        <v>46</v>
      </c>
      <c r="D57" s="159">
        <v>0.3</v>
      </c>
      <c r="E57" s="179">
        <v>70</v>
      </c>
      <c r="F57" s="180" t="s">
        <v>937</v>
      </c>
    </row>
    <row r="58" spans="1:6" x14ac:dyDescent="0.25">
      <c r="A58" s="138" t="s">
        <v>571</v>
      </c>
      <c r="B58" s="138" t="s">
        <v>198</v>
      </c>
      <c r="C58" s="159" t="s">
        <v>46</v>
      </c>
      <c r="D58" s="138">
        <v>0.24</v>
      </c>
      <c r="E58" s="179">
        <v>95</v>
      </c>
      <c r="F58" s="149" t="s">
        <v>937</v>
      </c>
    </row>
    <row r="59" spans="1:6" x14ac:dyDescent="0.25">
      <c r="A59" s="138" t="s">
        <v>571</v>
      </c>
      <c r="B59" s="138" t="s">
        <v>474</v>
      </c>
      <c r="C59" s="159" t="s">
        <v>46</v>
      </c>
      <c r="D59" s="138">
        <v>0.3</v>
      </c>
      <c r="E59" s="179">
        <v>120</v>
      </c>
      <c r="F59" s="149" t="s">
        <v>937</v>
      </c>
    </row>
    <row r="60" spans="1:6" x14ac:dyDescent="0.25">
      <c r="A60" s="138" t="s">
        <v>572</v>
      </c>
      <c r="B60" s="138" t="s">
        <v>198</v>
      </c>
      <c r="C60" s="159" t="s">
        <v>46</v>
      </c>
      <c r="D60" s="138">
        <v>0.24</v>
      </c>
      <c r="E60" s="179">
        <v>125</v>
      </c>
      <c r="F60" s="149" t="s">
        <v>937</v>
      </c>
    </row>
    <row r="61" spans="1:6" x14ac:dyDescent="0.25">
      <c r="A61" s="138" t="s">
        <v>572</v>
      </c>
      <c r="B61" s="138" t="s">
        <v>474</v>
      </c>
      <c r="C61" s="159" t="s">
        <v>46</v>
      </c>
      <c r="D61" s="138">
        <v>0.3</v>
      </c>
      <c r="E61" s="179">
        <v>150</v>
      </c>
      <c r="F61" s="149" t="s">
        <v>937</v>
      </c>
    </row>
    <row r="62" spans="1:6" ht="45" x14ac:dyDescent="0.25">
      <c r="A62" s="138" t="s">
        <v>115</v>
      </c>
      <c r="B62" s="138" t="s">
        <v>2</v>
      </c>
      <c r="C62" s="159" t="s">
        <v>6</v>
      </c>
      <c r="D62" s="138">
        <v>0.12</v>
      </c>
      <c r="E62" s="150" t="s">
        <v>662</v>
      </c>
    </row>
    <row r="63" spans="1:6" ht="45" x14ac:dyDescent="0.25">
      <c r="A63" s="138" t="s">
        <v>115</v>
      </c>
      <c r="B63" s="138" t="s">
        <v>3</v>
      </c>
      <c r="C63" s="159" t="s">
        <v>6</v>
      </c>
      <c r="D63" s="138">
        <v>0.16</v>
      </c>
      <c r="E63" s="150" t="s">
        <v>663</v>
      </c>
    </row>
    <row r="64" spans="1:6" ht="45" x14ac:dyDescent="0.25">
      <c r="A64" s="138" t="s">
        <v>115</v>
      </c>
      <c r="B64" s="138" t="s">
        <v>4</v>
      </c>
      <c r="C64" s="159" t="s">
        <v>6</v>
      </c>
      <c r="D64" s="138">
        <v>0.4</v>
      </c>
      <c r="E64" s="150" t="s">
        <v>664</v>
      </c>
    </row>
    <row r="65" spans="1:5" ht="45" x14ac:dyDescent="0.25">
      <c r="A65" s="138" t="s">
        <v>115</v>
      </c>
      <c r="B65" s="138" t="s">
        <v>2</v>
      </c>
      <c r="C65" s="159" t="s">
        <v>7</v>
      </c>
      <c r="D65" s="138">
        <v>0.24</v>
      </c>
      <c r="E65" s="150" t="s">
        <v>665</v>
      </c>
    </row>
    <row r="66" spans="1:5" ht="45" x14ac:dyDescent="0.25">
      <c r="A66" s="138" t="s">
        <v>115</v>
      </c>
      <c r="B66" s="138" t="s">
        <v>3</v>
      </c>
      <c r="C66" s="159" t="s">
        <v>7</v>
      </c>
      <c r="D66" s="138">
        <v>0.33</v>
      </c>
      <c r="E66" s="150" t="s">
        <v>666</v>
      </c>
    </row>
    <row r="67" spans="1:5" ht="45" x14ac:dyDescent="0.25">
      <c r="A67" s="138" t="s">
        <v>667</v>
      </c>
      <c r="B67" s="138" t="s">
        <v>4</v>
      </c>
      <c r="C67" s="159" t="s">
        <v>7</v>
      </c>
      <c r="D67" s="138">
        <v>0.7</v>
      </c>
      <c r="E67" s="150" t="s">
        <v>668</v>
      </c>
    </row>
    <row r="68" spans="1:5" ht="45" x14ac:dyDescent="0.25">
      <c r="A68" s="138" t="s">
        <v>115</v>
      </c>
      <c r="B68" s="138" t="s">
        <v>2</v>
      </c>
      <c r="C68" s="159" t="s">
        <v>8</v>
      </c>
      <c r="D68" s="138">
        <v>0.36</v>
      </c>
      <c r="E68" s="150" t="s">
        <v>669</v>
      </c>
    </row>
    <row r="69" spans="1:5" ht="45" x14ac:dyDescent="0.25">
      <c r="A69" s="138" t="s">
        <v>115</v>
      </c>
      <c r="B69" s="138" t="s">
        <v>3</v>
      </c>
      <c r="C69" s="159" t="s">
        <v>8</v>
      </c>
      <c r="D69" s="138">
        <v>0.82</v>
      </c>
      <c r="E69" s="150" t="s">
        <v>670</v>
      </c>
    </row>
    <row r="70" spans="1:5" ht="45" x14ac:dyDescent="0.25">
      <c r="A70" s="138" t="s">
        <v>115</v>
      </c>
      <c r="B70" s="138" t="s">
        <v>4</v>
      </c>
      <c r="C70" s="159" t="s">
        <v>8</v>
      </c>
      <c r="D70" s="138">
        <v>1.4</v>
      </c>
      <c r="E70" s="150" t="s">
        <v>671</v>
      </c>
    </row>
  </sheetData>
  <sortState xmlns:xlrd2="http://schemas.microsoft.com/office/spreadsheetml/2017/richdata2" ref="A38:E46">
    <sortCondition ref="B38:B46"/>
  </sortState>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FFFF00"/>
  </sheetPr>
  <dimension ref="A1:N43"/>
  <sheetViews>
    <sheetView zoomScale="115" zoomScaleNormal="115" workbookViewId="0">
      <selection activeCell="B1" sqref="B1:E1"/>
    </sheetView>
  </sheetViews>
  <sheetFormatPr defaultRowHeight="15" x14ac:dyDescent="0.25"/>
  <cols>
    <col min="2" max="2" width="54.140625" customWidth="1"/>
    <col min="3" max="4" width="11.7109375" bestFit="1" customWidth="1"/>
    <col min="10" max="10" width="49.7109375" customWidth="1"/>
    <col min="11" max="11" width="22.5703125" customWidth="1"/>
    <col min="12" max="12" width="15" customWidth="1"/>
  </cols>
  <sheetData>
    <row r="1" spans="1:14" ht="99.95" customHeight="1" x14ac:dyDescent="0.25">
      <c r="B1" s="523" t="s">
        <v>380</v>
      </c>
      <c r="C1" s="523"/>
      <c r="D1" s="523"/>
      <c r="E1" s="523"/>
      <c r="J1" t="s">
        <v>488</v>
      </c>
    </row>
    <row r="4" spans="1:14" ht="30.75" thickBot="1" x14ac:dyDescent="0.3">
      <c r="C4" s="87" t="s">
        <v>381</v>
      </c>
      <c r="D4" s="87" t="s">
        <v>382</v>
      </c>
      <c r="E4" s="7"/>
    </row>
    <row r="5" spans="1:14" ht="120" customHeight="1" thickBot="1" x14ac:dyDescent="0.3">
      <c r="A5" s="92" t="s">
        <v>348</v>
      </c>
      <c r="B5" s="67" t="s">
        <v>378</v>
      </c>
      <c r="C5" s="92" t="s">
        <v>351</v>
      </c>
      <c r="D5" s="92" t="s">
        <v>352</v>
      </c>
      <c r="E5" s="92" t="s">
        <v>348</v>
      </c>
      <c r="F5" s="421" t="s">
        <v>283</v>
      </c>
      <c r="G5" s="421" t="s">
        <v>1108</v>
      </c>
      <c r="H5" s="422" t="s">
        <v>2626</v>
      </c>
      <c r="I5" s="264"/>
      <c r="J5" s="67" t="s">
        <v>378</v>
      </c>
      <c r="K5" s="92" t="s">
        <v>351</v>
      </c>
      <c r="L5" s="92" t="s">
        <v>352</v>
      </c>
      <c r="M5" s="92" t="s">
        <v>348</v>
      </c>
    </row>
    <row r="6" spans="1:14" ht="15.75" thickBot="1" x14ac:dyDescent="0.3">
      <c r="A6" s="95">
        <v>1717</v>
      </c>
      <c r="B6" s="93" t="s">
        <v>353</v>
      </c>
      <c r="C6" s="94">
        <v>4.74</v>
      </c>
      <c r="D6" s="94">
        <v>5.68</v>
      </c>
      <c r="E6" s="95">
        <v>1717</v>
      </c>
      <c r="F6">
        <v>1000</v>
      </c>
      <c r="G6">
        <v>1</v>
      </c>
      <c r="H6" s="149"/>
      <c r="J6" t="s">
        <v>489</v>
      </c>
      <c r="K6" s="124">
        <v>1.49</v>
      </c>
      <c r="L6" s="124">
        <v>1.76</v>
      </c>
      <c r="M6">
        <v>1521</v>
      </c>
      <c r="N6" t="s">
        <v>490</v>
      </c>
    </row>
    <row r="7" spans="1:14" ht="15.75" thickBot="1" x14ac:dyDescent="0.3">
      <c r="A7" s="98">
        <v>1766</v>
      </c>
      <c r="B7" s="96" t="s">
        <v>354</v>
      </c>
      <c r="C7" s="97">
        <v>1.04</v>
      </c>
      <c r="D7" s="97">
        <v>1.24</v>
      </c>
      <c r="E7" s="98">
        <v>1766</v>
      </c>
      <c r="F7">
        <v>500</v>
      </c>
      <c r="H7" s="149"/>
      <c r="J7" t="s">
        <v>491</v>
      </c>
      <c r="K7" s="124">
        <v>0.31</v>
      </c>
      <c r="L7" s="124">
        <v>0.36</v>
      </c>
      <c r="M7">
        <v>1524</v>
      </c>
    </row>
    <row r="8" spans="1:14" ht="15.75" thickBot="1" x14ac:dyDescent="0.3">
      <c r="A8" s="95">
        <v>1743</v>
      </c>
      <c r="B8" s="93" t="s">
        <v>355</v>
      </c>
      <c r="C8" s="94">
        <v>0.96</v>
      </c>
      <c r="D8" s="94">
        <v>1.1499999999999999</v>
      </c>
      <c r="E8" s="95">
        <v>1743</v>
      </c>
      <c r="F8">
        <v>500</v>
      </c>
      <c r="H8" s="149"/>
      <c r="J8" t="s">
        <v>492</v>
      </c>
      <c r="K8" s="125">
        <v>2.4300000000000002</v>
      </c>
      <c r="L8" s="124">
        <v>2.87</v>
      </c>
      <c r="M8">
        <v>1526</v>
      </c>
    </row>
    <row r="9" spans="1:14" ht="15.75" thickBot="1" x14ac:dyDescent="0.3">
      <c r="A9" s="98">
        <v>1811</v>
      </c>
      <c r="B9" s="96" t="s">
        <v>356</v>
      </c>
      <c r="C9" s="97">
        <v>0.56999999999999995</v>
      </c>
      <c r="D9" s="97">
        <v>0.68</v>
      </c>
      <c r="E9" s="98">
        <v>1811</v>
      </c>
      <c r="F9">
        <v>500</v>
      </c>
      <c r="H9" s="149"/>
      <c r="J9" t="s">
        <v>493</v>
      </c>
      <c r="K9" s="124">
        <v>6.48</v>
      </c>
      <c r="L9" s="124">
        <v>7.65</v>
      </c>
      <c r="M9">
        <v>1527</v>
      </c>
      <c r="N9" t="s">
        <v>490</v>
      </c>
    </row>
    <row r="10" spans="1:14" ht="15.75" thickBot="1" x14ac:dyDescent="0.3">
      <c r="A10" s="95">
        <v>1752</v>
      </c>
      <c r="B10" s="93" t="s">
        <v>357</v>
      </c>
      <c r="C10" s="94">
        <v>1.1399999999999999</v>
      </c>
      <c r="D10" s="94">
        <v>1.36</v>
      </c>
      <c r="E10" s="95">
        <v>1752</v>
      </c>
      <c r="F10">
        <v>500</v>
      </c>
      <c r="H10" s="149"/>
      <c r="J10" t="s">
        <v>494</v>
      </c>
      <c r="K10" s="124">
        <v>1.91</v>
      </c>
      <c r="L10" s="124">
        <v>2.25</v>
      </c>
      <c r="M10">
        <v>1532</v>
      </c>
    </row>
    <row r="11" spans="1:14" ht="15.75" thickBot="1" x14ac:dyDescent="0.3">
      <c r="A11" s="98">
        <v>1752</v>
      </c>
      <c r="B11" s="96" t="s">
        <v>358</v>
      </c>
      <c r="C11" s="97">
        <v>1.1399999999999999</v>
      </c>
      <c r="D11" s="97">
        <v>1.36</v>
      </c>
      <c r="E11" s="98">
        <v>1752</v>
      </c>
      <c r="F11">
        <v>500</v>
      </c>
      <c r="H11" s="149"/>
      <c r="J11" t="s">
        <v>495</v>
      </c>
      <c r="K11" s="124">
        <v>1.1200000000000001</v>
      </c>
      <c r="L11" s="124">
        <v>1.32</v>
      </c>
      <c r="M11">
        <v>1534</v>
      </c>
    </row>
    <row r="12" spans="1:14" ht="30.75" thickBot="1" x14ac:dyDescent="0.3">
      <c r="A12" s="95">
        <v>1756</v>
      </c>
      <c r="B12" s="93" t="s">
        <v>359</v>
      </c>
      <c r="C12" s="94">
        <v>0.63</v>
      </c>
      <c r="D12" s="94">
        <v>0.75</v>
      </c>
      <c r="E12" s="95">
        <v>1756</v>
      </c>
      <c r="F12">
        <v>500</v>
      </c>
      <c r="H12" s="149"/>
      <c r="J12" s="7" t="s">
        <v>496</v>
      </c>
      <c r="K12" s="124">
        <v>3.33</v>
      </c>
      <c r="L12" s="124">
        <v>3.92</v>
      </c>
      <c r="M12">
        <v>1712</v>
      </c>
      <c r="N12" t="s">
        <v>490</v>
      </c>
    </row>
    <row r="13" spans="1:14" ht="26.25" thickBot="1" x14ac:dyDescent="0.3">
      <c r="A13" s="98">
        <v>1741</v>
      </c>
      <c r="B13" s="34" t="s">
        <v>360</v>
      </c>
      <c r="C13" s="97">
        <v>2.4900000000000002</v>
      </c>
      <c r="D13" s="97">
        <v>2.98</v>
      </c>
      <c r="E13" s="98">
        <v>1741</v>
      </c>
      <c r="F13">
        <v>1000</v>
      </c>
      <c r="G13">
        <v>1</v>
      </c>
      <c r="H13" s="149"/>
      <c r="J13" t="s">
        <v>497</v>
      </c>
      <c r="K13" s="124">
        <v>6.14</v>
      </c>
      <c r="L13" s="124">
        <v>7.24</v>
      </c>
      <c r="M13">
        <v>1719</v>
      </c>
      <c r="N13" t="s">
        <v>490</v>
      </c>
    </row>
    <row r="14" spans="1:14" ht="30.75" thickBot="1" x14ac:dyDescent="0.3">
      <c r="A14" s="95">
        <v>1744</v>
      </c>
      <c r="B14" s="93" t="s">
        <v>361</v>
      </c>
      <c r="C14" s="94">
        <v>0.65</v>
      </c>
      <c r="D14" s="94">
        <v>0.78</v>
      </c>
      <c r="E14" s="95">
        <v>1744</v>
      </c>
      <c r="F14">
        <v>500</v>
      </c>
      <c r="H14" s="149"/>
      <c r="J14" s="7" t="s">
        <v>498</v>
      </c>
      <c r="K14" s="124">
        <v>0.63</v>
      </c>
      <c r="L14" s="124">
        <v>0.74</v>
      </c>
      <c r="M14">
        <v>1770</v>
      </c>
      <c r="N14" t="s">
        <v>490</v>
      </c>
    </row>
    <row r="15" spans="1:14" ht="15.75" thickBot="1" x14ac:dyDescent="0.3">
      <c r="A15" s="98">
        <v>1731</v>
      </c>
      <c r="B15" s="34" t="s">
        <v>362</v>
      </c>
      <c r="C15" s="97">
        <v>1.47</v>
      </c>
      <c r="D15" s="97">
        <v>1.76</v>
      </c>
      <c r="E15" s="98">
        <v>1731</v>
      </c>
      <c r="F15">
        <v>1000</v>
      </c>
      <c r="G15">
        <v>1</v>
      </c>
      <c r="H15" s="149"/>
      <c r="J15" t="s">
        <v>499</v>
      </c>
      <c r="K15" s="124">
        <v>0.22</v>
      </c>
      <c r="L15" s="124">
        <v>0.26</v>
      </c>
      <c r="M15">
        <v>1720</v>
      </c>
    </row>
    <row r="16" spans="1:14" ht="30.75" thickBot="1" x14ac:dyDescent="0.3">
      <c r="A16" s="95">
        <v>1522</v>
      </c>
      <c r="B16" s="93" t="s">
        <v>363</v>
      </c>
      <c r="C16" s="94">
        <v>0.65</v>
      </c>
      <c r="D16" s="94">
        <v>0.75</v>
      </c>
      <c r="E16" s="95">
        <v>1522</v>
      </c>
      <c r="F16">
        <v>500</v>
      </c>
      <c r="H16" s="149"/>
      <c r="J16" s="7" t="s">
        <v>500</v>
      </c>
      <c r="K16" s="124">
        <v>0.99</v>
      </c>
      <c r="L16" s="124">
        <v>1.18</v>
      </c>
      <c r="M16">
        <v>1745</v>
      </c>
    </row>
    <row r="17" spans="1:14" ht="15.75" thickBot="1" x14ac:dyDescent="0.3">
      <c r="A17" s="98">
        <v>1535</v>
      </c>
      <c r="B17" s="34" t="s">
        <v>364</v>
      </c>
      <c r="C17" s="97">
        <v>0.44</v>
      </c>
      <c r="D17" s="97">
        <v>0.52</v>
      </c>
      <c r="E17" s="98">
        <v>1535</v>
      </c>
      <c r="F17">
        <v>500</v>
      </c>
      <c r="H17" s="149"/>
      <c r="J17" t="s">
        <v>501</v>
      </c>
      <c r="K17" s="124">
        <v>0.63</v>
      </c>
      <c r="L17" s="124">
        <v>0.74</v>
      </c>
      <c r="M17">
        <v>1770</v>
      </c>
    </row>
    <row r="18" spans="1:14" ht="30.75" thickBot="1" x14ac:dyDescent="0.3">
      <c r="A18" s="95">
        <v>1715</v>
      </c>
      <c r="B18" s="93" t="s">
        <v>365</v>
      </c>
      <c r="C18" s="94">
        <v>9.07</v>
      </c>
      <c r="D18" s="94">
        <v>10.88</v>
      </c>
      <c r="E18" s="95">
        <v>1715</v>
      </c>
      <c r="F18">
        <v>500</v>
      </c>
      <c r="H18" s="149"/>
      <c r="J18" s="7" t="s">
        <v>503</v>
      </c>
      <c r="K18" s="124">
        <v>3.44</v>
      </c>
      <c r="L18" s="124">
        <v>4.0599999999999996</v>
      </c>
      <c r="M18">
        <v>1774</v>
      </c>
      <c r="N18" t="s">
        <v>490</v>
      </c>
    </row>
    <row r="19" spans="1:14" ht="15.75" thickBot="1" x14ac:dyDescent="0.3">
      <c r="A19" s="98">
        <v>7692</v>
      </c>
      <c r="B19" s="34" t="s">
        <v>366</v>
      </c>
      <c r="C19" s="97">
        <v>0.72</v>
      </c>
      <c r="D19" s="97">
        <v>0.86</v>
      </c>
      <c r="E19" s="98">
        <v>7692</v>
      </c>
      <c r="F19">
        <v>500</v>
      </c>
      <c r="H19" s="149"/>
    </row>
    <row r="20" spans="1:14" ht="15.75" thickBot="1" x14ac:dyDescent="0.3">
      <c r="A20" s="95">
        <v>1753</v>
      </c>
      <c r="B20" s="93" t="s">
        <v>367</v>
      </c>
      <c r="C20" s="94">
        <v>1.75</v>
      </c>
      <c r="D20" s="94">
        <v>2.1</v>
      </c>
      <c r="E20" s="95">
        <v>1753</v>
      </c>
      <c r="F20">
        <v>1000</v>
      </c>
      <c r="H20" s="149"/>
    </row>
    <row r="21" spans="1:14" ht="15.75" thickBot="1" x14ac:dyDescent="0.3">
      <c r="A21" s="98">
        <v>1757</v>
      </c>
      <c r="B21" s="34" t="s">
        <v>368</v>
      </c>
      <c r="C21" s="97">
        <v>0.56999999999999995</v>
      </c>
      <c r="D21" s="97">
        <v>0.68</v>
      </c>
      <c r="E21" s="98">
        <v>1757</v>
      </c>
      <c r="F21">
        <v>500</v>
      </c>
      <c r="H21" s="149"/>
    </row>
    <row r="22" spans="1:14" ht="15.75" thickBot="1" x14ac:dyDescent="0.3">
      <c r="A22" s="95">
        <v>7394</v>
      </c>
      <c r="B22" s="93" t="s">
        <v>369</v>
      </c>
      <c r="C22" s="94">
        <v>2</v>
      </c>
      <c r="D22" s="94">
        <v>2.4</v>
      </c>
      <c r="E22" s="95">
        <v>7394</v>
      </c>
      <c r="F22">
        <v>1000</v>
      </c>
      <c r="H22" s="149">
        <v>1</v>
      </c>
    </row>
    <row r="23" spans="1:14" ht="26.25" thickBot="1" x14ac:dyDescent="0.3">
      <c r="A23" s="126" t="s">
        <v>502</v>
      </c>
      <c r="B23" s="34" t="s">
        <v>370</v>
      </c>
      <c r="C23" s="97">
        <v>2.21</v>
      </c>
      <c r="D23" s="97">
        <v>2.65</v>
      </c>
      <c r="E23" s="126" t="s">
        <v>502</v>
      </c>
      <c r="F23">
        <v>500</v>
      </c>
      <c r="H23" s="149"/>
    </row>
    <row r="24" spans="1:14" ht="15.75" thickBot="1" x14ac:dyDescent="0.3">
      <c r="A24" s="95">
        <v>1754</v>
      </c>
      <c r="B24" s="93" t="s">
        <v>371</v>
      </c>
      <c r="C24" s="94">
        <v>1.42</v>
      </c>
      <c r="D24" s="94">
        <v>1.7</v>
      </c>
      <c r="E24" s="95">
        <v>1754</v>
      </c>
      <c r="F24">
        <v>1000</v>
      </c>
      <c r="G24">
        <v>1</v>
      </c>
      <c r="H24" s="149"/>
    </row>
    <row r="25" spans="1:14" ht="15.75" thickBot="1" x14ac:dyDescent="0.3">
      <c r="A25" s="98">
        <v>1711</v>
      </c>
      <c r="B25" s="34" t="s">
        <v>372</v>
      </c>
      <c r="C25" s="97">
        <v>3.96</v>
      </c>
      <c r="D25" s="97">
        <v>4.75</v>
      </c>
      <c r="E25" s="98">
        <v>1711</v>
      </c>
      <c r="F25">
        <v>1000</v>
      </c>
      <c r="G25">
        <v>1</v>
      </c>
      <c r="H25" s="149"/>
    </row>
    <row r="26" spans="1:14" ht="26.25" thickBot="1" x14ac:dyDescent="0.3">
      <c r="A26" s="95">
        <v>1775</v>
      </c>
      <c r="B26" s="36" t="s">
        <v>373</v>
      </c>
      <c r="C26" s="94">
        <v>9.11</v>
      </c>
      <c r="D26" s="94">
        <v>10.93</v>
      </c>
      <c r="E26" s="95">
        <v>1775</v>
      </c>
      <c r="F26">
        <v>1000</v>
      </c>
      <c r="G26">
        <v>1</v>
      </c>
      <c r="H26" s="149"/>
    </row>
    <row r="27" spans="1:14" ht="15.75" thickBot="1" x14ac:dyDescent="0.3">
      <c r="A27" s="98">
        <v>1778</v>
      </c>
      <c r="B27" s="34" t="s">
        <v>374</v>
      </c>
      <c r="C27" s="97">
        <v>2.97</v>
      </c>
      <c r="D27" s="97">
        <v>3.56</v>
      </c>
      <c r="E27" s="98">
        <v>1778</v>
      </c>
      <c r="F27">
        <v>1000</v>
      </c>
      <c r="H27" s="149"/>
    </row>
    <row r="28" spans="1:14" ht="15.75" thickBot="1" x14ac:dyDescent="0.3">
      <c r="A28" s="95">
        <v>1762</v>
      </c>
      <c r="B28" s="93" t="s">
        <v>375</v>
      </c>
      <c r="C28" s="94">
        <v>1.3</v>
      </c>
      <c r="D28" s="94">
        <v>1.56</v>
      </c>
      <c r="E28" s="95">
        <v>1762</v>
      </c>
      <c r="F28">
        <v>1000</v>
      </c>
      <c r="G28">
        <v>1</v>
      </c>
      <c r="H28" s="149"/>
    </row>
    <row r="29" spans="1:14" ht="15.75" thickBot="1" x14ac:dyDescent="0.3">
      <c r="A29" s="98">
        <v>1831</v>
      </c>
      <c r="B29" s="34" t="s">
        <v>376</v>
      </c>
      <c r="C29" s="97">
        <v>6.16</v>
      </c>
      <c r="D29" s="97">
        <v>7.39</v>
      </c>
      <c r="E29" s="98">
        <v>1831</v>
      </c>
      <c r="F29">
        <v>500</v>
      </c>
      <c r="H29" s="149"/>
    </row>
    <row r="30" spans="1:14" ht="15.75" thickBot="1" x14ac:dyDescent="0.3">
      <c r="A30" s="95">
        <v>9999</v>
      </c>
      <c r="B30" s="93" t="s">
        <v>377</v>
      </c>
      <c r="C30" s="94">
        <v>1.5</v>
      </c>
      <c r="D30" s="94">
        <v>1.77</v>
      </c>
      <c r="E30" s="95">
        <v>9999</v>
      </c>
      <c r="F30">
        <v>500</v>
      </c>
      <c r="H30" s="149"/>
    </row>
    <row r="31" spans="1:14" ht="15.75" thickBot="1" x14ac:dyDescent="0.3">
      <c r="A31" s="98">
        <v>1521</v>
      </c>
      <c r="B31" s="34" t="s">
        <v>489</v>
      </c>
      <c r="C31" s="97">
        <v>1.49</v>
      </c>
      <c r="D31" s="97">
        <v>1.76</v>
      </c>
      <c r="E31" s="98">
        <v>1521</v>
      </c>
      <c r="F31">
        <v>1000</v>
      </c>
      <c r="H31" s="149"/>
    </row>
    <row r="32" spans="1:14" ht="15.75" thickBot="1" x14ac:dyDescent="0.3">
      <c r="A32" s="95">
        <v>1524</v>
      </c>
      <c r="B32" s="93" t="s">
        <v>491</v>
      </c>
      <c r="C32" s="94">
        <v>0.31</v>
      </c>
      <c r="D32" s="94">
        <v>0.36</v>
      </c>
      <c r="E32" s="95">
        <v>1524</v>
      </c>
      <c r="F32">
        <v>1000</v>
      </c>
      <c r="H32" s="149"/>
    </row>
    <row r="33" spans="1:8" ht="15.75" thickBot="1" x14ac:dyDescent="0.3">
      <c r="A33" s="98">
        <v>1526</v>
      </c>
      <c r="B33" s="34" t="s">
        <v>492</v>
      </c>
      <c r="C33" s="97">
        <v>2.4300000000000002</v>
      </c>
      <c r="D33" s="97">
        <v>2.87</v>
      </c>
      <c r="E33" s="98">
        <v>1526</v>
      </c>
      <c r="F33">
        <v>1000</v>
      </c>
      <c r="H33" s="149"/>
    </row>
    <row r="34" spans="1:8" ht="15.75" thickBot="1" x14ac:dyDescent="0.3">
      <c r="A34" s="95">
        <v>1527</v>
      </c>
      <c r="B34" s="93" t="s">
        <v>493</v>
      </c>
      <c r="C34" s="94">
        <v>6.48</v>
      </c>
      <c r="D34" s="94">
        <v>7.65</v>
      </c>
      <c r="E34" s="95">
        <v>1527</v>
      </c>
      <c r="F34">
        <v>500</v>
      </c>
      <c r="H34" s="149"/>
    </row>
    <row r="35" spans="1:8" ht="15.75" thickBot="1" x14ac:dyDescent="0.3">
      <c r="A35" s="98">
        <v>1532</v>
      </c>
      <c r="B35" s="34" t="s">
        <v>494</v>
      </c>
      <c r="C35" s="97">
        <v>1.91</v>
      </c>
      <c r="D35" s="97">
        <v>2.25</v>
      </c>
      <c r="E35" s="98">
        <v>1532</v>
      </c>
      <c r="F35">
        <v>500</v>
      </c>
      <c r="H35" s="149"/>
    </row>
    <row r="36" spans="1:8" ht="15.75" thickBot="1" x14ac:dyDescent="0.3">
      <c r="A36" s="95">
        <v>1534</v>
      </c>
      <c r="B36" s="93" t="s">
        <v>495</v>
      </c>
      <c r="C36" s="94">
        <v>1.1200000000000001</v>
      </c>
      <c r="D36" s="94">
        <v>1.32</v>
      </c>
      <c r="E36" s="95">
        <v>1534</v>
      </c>
      <c r="F36">
        <v>500</v>
      </c>
      <c r="H36" s="149"/>
    </row>
    <row r="37" spans="1:8" ht="26.25" thickBot="1" x14ac:dyDescent="0.3">
      <c r="A37" s="98">
        <v>1712</v>
      </c>
      <c r="B37" s="34" t="s">
        <v>496</v>
      </c>
      <c r="C37" s="97">
        <v>3.33</v>
      </c>
      <c r="D37" s="97">
        <v>3.92</v>
      </c>
      <c r="E37" s="98">
        <v>1712</v>
      </c>
      <c r="F37">
        <v>500</v>
      </c>
      <c r="H37" s="149"/>
    </row>
    <row r="38" spans="1:8" ht="15.75" thickBot="1" x14ac:dyDescent="0.3">
      <c r="A38" s="95">
        <v>1719</v>
      </c>
      <c r="B38" s="93" t="s">
        <v>497</v>
      </c>
      <c r="C38" s="94">
        <v>6.14</v>
      </c>
      <c r="D38" s="94">
        <v>7.24</v>
      </c>
      <c r="E38" s="95">
        <v>1719</v>
      </c>
      <c r="F38">
        <v>500</v>
      </c>
      <c r="H38" s="149"/>
    </row>
    <row r="39" spans="1:8" ht="26.25" thickBot="1" x14ac:dyDescent="0.3">
      <c r="A39" s="98">
        <v>1770</v>
      </c>
      <c r="B39" s="34" t="s">
        <v>498</v>
      </c>
      <c r="C39" s="97">
        <v>0.63</v>
      </c>
      <c r="D39" s="97">
        <v>0.74</v>
      </c>
      <c r="E39" s="98">
        <v>1770</v>
      </c>
      <c r="F39">
        <v>500</v>
      </c>
      <c r="H39" s="149"/>
    </row>
    <row r="40" spans="1:8" ht="15.75" thickBot="1" x14ac:dyDescent="0.3">
      <c r="A40" s="95">
        <v>1720</v>
      </c>
      <c r="B40" s="93" t="s">
        <v>499</v>
      </c>
      <c r="C40" s="94">
        <v>0.22</v>
      </c>
      <c r="D40" s="94">
        <v>0.26</v>
      </c>
      <c r="E40" s="95">
        <v>1720</v>
      </c>
      <c r="F40">
        <v>500</v>
      </c>
      <c r="H40" s="149"/>
    </row>
    <row r="41" spans="1:8" ht="26.25" thickBot="1" x14ac:dyDescent="0.3">
      <c r="A41" s="98">
        <v>1745</v>
      </c>
      <c r="B41" s="34" t="s">
        <v>500</v>
      </c>
      <c r="C41" s="97">
        <v>0.99</v>
      </c>
      <c r="D41" s="97">
        <v>1.18</v>
      </c>
      <c r="E41" s="98">
        <v>1745</v>
      </c>
      <c r="F41">
        <v>500</v>
      </c>
      <c r="H41" s="149"/>
    </row>
    <row r="42" spans="1:8" ht="15.75" thickBot="1" x14ac:dyDescent="0.3">
      <c r="A42" s="95">
        <v>1770</v>
      </c>
      <c r="B42" s="93" t="s">
        <v>501</v>
      </c>
      <c r="C42" s="94">
        <v>0.63</v>
      </c>
      <c r="D42" s="94">
        <v>0.74</v>
      </c>
      <c r="E42" s="95">
        <v>1770</v>
      </c>
      <c r="F42">
        <v>500</v>
      </c>
      <c r="H42" s="149"/>
    </row>
    <row r="43" spans="1:8" ht="15.75" thickBot="1" x14ac:dyDescent="0.3">
      <c r="A43" s="98">
        <v>1774</v>
      </c>
      <c r="B43" s="34" t="s">
        <v>503</v>
      </c>
      <c r="C43" s="97">
        <v>3.44</v>
      </c>
      <c r="D43" s="97">
        <v>4.0599999999999996</v>
      </c>
      <c r="E43" s="98">
        <v>1774</v>
      </c>
      <c r="F43">
        <v>500</v>
      </c>
      <c r="H43" s="149"/>
    </row>
  </sheetData>
  <mergeCells count="1">
    <mergeCell ref="B1:E1"/>
  </mergeCells>
  <pageMargins left="0.7" right="0.7" top="0.75" bottom="0.75" header="0.3" footer="0.3"/>
  <pageSetup orientation="portrait" verticalDpi="597"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BEDDDA-6732-46ED-9624-D1DBA9B1365B}">
  <sheetPr codeName="Sheet24"/>
  <dimension ref="A3:S34"/>
  <sheetViews>
    <sheetView topLeftCell="L1" workbookViewId="0">
      <selection activeCell="AE1" sqref="AE1:AJ1048576"/>
    </sheetView>
  </sheetViews>
  <sheetFormatPr defaultRowHeight="15" x14ac:dyDescent="0.25"/>
  <cols>
    <col min="1" max="1" width="30.42578125" customWidth="1"/>
    <col min="2" max="2" width="2.7109375" customWidth="1"/>
    <col min="3" max="3" width="33.85546875" bestFit="1" customWidth="1"/>
    <col min="4" max="4" width="2" customWidth="1"/>
    <col min="5" max="5" width="19.5703125" bestFit="1" customWidth="1"/>
    <col min="6" max="6" width="1.7109375" customWidth="1"/>
    <col min="7" max="7" width="34.42578125" customWidth="1"/>
    <col min="8" max="8" width="2.28515625" customWidth="1"/>
    <col min="9" max="9" width="38.28515625" bestFit="1" customWidth="1"/>
    <col min="10" max="10" width="2.28515625" customWidth="1"/>
    <col min="11" max="11" width="43.5703125" customWidth="1"/>
    <col min="12" max="12" width="2.5703125" customWidth="1"/>
    <col min="13" max="13" width="29.140625" customWidth="1"/>
    <col min="14" max="14" width="1.7109375" customWidth="1"/>
    <col min="15" max="15" width="18.7109375" customWidth="1"/>
    <col min="17" max="17" width="16.5703125" customWidth="1"/>
  </cols>
  <sheetData>
    <row r="3" spans="1:19" s="1" customFormat="1" ht="45" x14ac:dyDescent="0.25">
      <c r="A3" s="1" t="s">
        <v>2448</v>
      </c>
      <c r="C3" s="1" t="s">
        <v>2449</v>
      </c>
      <c r="E3" s="1" t="s">
        <v>2520</v>
      </c>
      <c r="G3" s="1" t="s">
        <v>2524</v>
      </c>
      <c r="I3" s="1" t="s">
        <v>2531</v>
      </c>
      <c r="K3" s="1" t="s">
        <v>2532</v>
      </c>
      <c r="M3" s="1" t="s">
        <v>2538</v>
      </c>
      <c r="O3" s="1" t="s">
        <v>2539</v>
      </c>
      <c r="Q3" s="1" t="s">
        <v>2644</v>
      </c>
      <c r="S3" s="1" t="s">
        <v>2894</v>
      </c>
    </row>
    <row r="4" spans="1:19" x14ac:dyDescent="0.25">
      <c r="A4" s="100">
        <v>1000000</v>
      </c>
      <c r="C4" t="s">
        <v>1114</v>
      </c>
      <c r="E4" s="317" t="s">
        <v>1062</v>
      </c>
      <c r="G4" t="s">
        <v>1062</v>
      </c>
      <c r="I4" t="s">
        <v>2526</v>
      </c>
      <c r="K4" t="s">
        <v>427</v>
      </c>
      <c r="M4" t="s">
        <v>1114</v>
      </c>
      <c r="O4" t="s">
        <v>2637</v>
      </c>
      <c r="Q4" t="s">
        <v>1114</v>
      </c>
    </row>
    <row r="5" spans="1:19" x14ac:dyDescent="0.25">
      <c r="A5" s="100">
        <v>2000000</v>
      </c>
      <c r="C5" t="s">
        <v>1398</v>
      </c>
      <c r="E5" s="317" t="s">
        <v>1067</v>
      </c>
      <c r="G5" t="s">
        <v>2603</v>
      </c>
      <c r="I5" t="s">
        <v>2527</v>
      </c>
      <c r="K5" t="s">
        <v>236</v>
      </c>
      <c r="M5" t="s">
        <v>1398</v>
      </c>
      <c r="O5" t="s">
        <v>10</v>
      </c>
      <c r="Q5" t="s">
        <v>1398</v>
      </c>
    </row>
    <row r="6" spans="1:19" x14ac:dyDescent="0.25">
      <c r="A6" s="100">
        <v>3000000</v>
      </c>
      <c r="E6" s="317">
        <v>25000</v>
      </c>
      <c r="G6" t="s">
        <v>1156</v>
      </c>
      <c r="I6" t="s">
        <v>2528</v>
      </c>
      <c r="K6" t="s">
        <v>2533</v>
      </c>
      <c r="O6" t="s">
        <v>2643</v>
      </c>
    </row>
    <row r="7" spans="1:19" x14ac:dyDescent="0.25">
      <c r="A7" s="100">
        <v>4000000</v>
      </c>
      <c r="E7" s="317">
        <v>50000</v>
      </c>
      <c r="G7" t="s">
        <v>1157</v>
      </c>
      <c r="I7" t="s">
        <v>2529</v>
      </c>
      <c r="K7" t="s">
        <v>2534</v>
      </c>
      <c r="O7" t="s">
        <v>2638</v>
      </c>
    </row>
    <row r="8" spans="1:19" x14ac:dyDescent="0.25">
      <c r="A8" s="100">
        <v>5000000</v>
      </c>
      <c r="C8" t="s">
        <v>1398</v>
      </c>
      <c r="E8" s="317">
        <v>100000</v>
      </c>
      <c r="G8" t="s">
        <v>2623</v>
      </c>
      <c r="I8" t="s">
        <v>2530</v>
      </c>
      <c r="K8" t="s">
        <v>2535</v>
      </c>
      <c r="O8" t="s">
        <v>2639</v>
      </c>
    </row>
    <row r="9" spans="1:19" x14ac:dyDescent="0.25">
      <c r="E9" s="317">
        <v>250000</v>
      </c>
      <c r="K9" t="s">
        <v>2453</v>
      </c>
      <c r="O9" t="s">
        <v>2640</v>
      </c>
    </row>
    <row r="10" spans="1:19" x14ac:dyDescent="0.25">
      <c r="E10" s="317">
        <v>1000000</v>
      </c>
      <c r="K10" t="s">
        <v>2536</v>
      </c>
      <c r="O10" t="s">
        <v>2641</v>
      </c>
    </row>
    <row r="11" spans="1:19" x14ac:dyDescent="0.25">
      <c r="E11" s="317">
        <v>2000000</v>
      </c>
      <c r="K11" t="s">
        <v>2537</v>
      </c>
      <c r="O11" t="s">
        <v>2642</v>
      </c>
    </row>
    <row r="12" spans="1:19" x14ac:dyDescent="0.25">
      <c r="E12" s="317">
        <v>5000000</v>
      </c>
      <c r="K12" t="s">
        <v>115</v>
      </c>
      <c r="O12" t="s">
        <v>297</v>
      </c>
    </row>
    <row r="13" spans="1:19" x14ac:dyDescent="0.25">
      <c r="K13" t="s">
        <v>1354</v>
      </c>
      <c r="O13" t="s">
        <v>236</v>
      </c>
    </row>
    <row r="20" spans="1:17" s="1" customFormat="1" ht="30" x14ac:dyDescent="0.25">
      <c r="A20" s="1" t="s">
        <v>2565</v>
      </c>
      <c r="C20" s="1" t="s">
        <v>2566</v>
      </c>
      <c r="E20" s="1" t="s">
        <v>2540</v>
      </c>
      <c r="G20" s="1" t="s">
        <v>2578</v>
      </c>
      <c r="I20" s="1" t="s">
        <v>2545</v>
      </c>
      <c r="K20" s="1" t="s">
        <v>2547</v>
      </c>
      <c r="M20" s="1" t="s">
        <v>2554</v>
      </c>
      <c r="O20" s="1" t="s">
        <v>2558</v>
      </c>
      <c r="Q20" s="1" t="s">
        <v>2653</v>
      </c>
    </row>
    <row r="21" spans="1:17" x14ac:dyDescent="0.25">
      <c r="A21" t="s">
        <v>1114</v>
      </c>
      <c r="C21" t="s">
        <v>2567</v>
      </c>
      <c r="E21" t="s">
        <v>2541</v>
      </c>
      <c r="G21" t="s">
        <v>2579</v>
      </c>
      <c r="I21" t="s">
        <v>2546</v>
      </c>
      <c r="K21" t="s">
        <v>2548</v>
      </c>
      <c r="M21" t="s">
        <v>1413</v>
      </c>
      <c r="O21" t="s">
        <v>2559</v>
      </c>
      <c r="Q21">
        <v>0</v>
      </c>
    </row>
    <row r="22" spans="1:17" x14ac:dyDescent="0.25">
      <c r="A22" t="s">
        <v>1398</v>
      </c>
      <c r="C22" t="s">
        <v>2568</v>
      </c>
      <c r="E22" t="s">
        <v>1352</v>
      </c>
      <c r="G22" t="s">
        <v>2580</v>
      </c>
      <c r="I22" t="s">
        <v>1398</v>
      </c>
      <c r="K22" t="s">
        <v>2549</v>
      </c>
      <c r="M22" t="s">
        <v>2555</v>
      </c>
      <c r="O22" t="s">
        <v>2560</v>
      </c>
      <c r="Q22">
        <v>500</v>
      </c>
    </row>
    <row r="23" spans="1:17" x14ac:dyDescent="0.25">
      <c r="C23" t="s">
        <v>2569</v>
      </c>
      <c r="E23" t="s">
        <v>2542</v>
      </c>
      <c r="G23" t="s">
        <v>2581</v>
      </c>
      <c r="K23" t="s">
        <v>2550</v>
      </c>
      <c r="M23" t="s">
        <v>2556</v>
      </c>
      <c r="O23" t="s">
        <v>2561</v>
      </c>
      <c r="Q23">
        <v>1000</v>
      </c>
    </row>
    <row r="24" spans="1:17" x14ac:dyDescent="0.25">
      <c r="E24" t="s">
        <v>2543</v>
      </c>
      <c r="G24" t="s">
        <v>2582</v>
      </c>
      <c r="K24" t="s">
        <v>2551</v>
      </c>
      <c r="M24" t="s">
        <v>2557</v>
      </c>
      <c r="O24" t="s">
        <v>2562</v>
      </c>
      <c r="Q24">
        <v>1500</v>
      </c>
    </row>
    <row r="25" spans="1:17" x14ac:dyDescent="0.25">
      <c r="E25" t="s">
        <v>2544</v>
      </c>
      <c r="G25" t="s">
        <v>1352</v>
      </c>
      <c r="K25" t="s">
        <v>2805</v>
      </c>
      <c r="M25" t="s">
        <v>2544</v>
      </c>
      <c r="O25" t="s">
        <v>2563</v>
      </c>
      <c r="Q25">
        <v>2000</v>
      </c>
    </row>
    <row r="26" spans="1:17" x14ac:dyDescent="0.25">
      <c r="E26" t="s">
        <v>1354</v>
      </c>
      <c r="G26" t="s">
        <v>1353</v>
      </c>
      <c r="K26" t="s">
        <v>2552</v>
      </c>
      <c r="M26" t="s">
        <v>1354</v>
      </c>
      <c r="O26" t="s">
        <v>2564</v>
      </c>
      <c r="Q26">
        <v>2500</v>
      </c>
    </row>
    <row r="27" spans="1:17" x14ac:dyDescent="0.25">
      <c r="G27" t="s">
        <v>1351</v>
      </c>
      <c r="K27" t="s">
        <v>2553</v>
      </c>
      <c r="O27" t="s">
        <v>2544</v>
      </c>
      <c r="Q27">
        <v>5000</v>
      </c>
    </row>
    <row r="28" spans="1:17" x14ac:dyDescent="0.25">
      <c r="G28" t="s">
        <v>2583</v>
      </c>
      <c r="K28" t="s">
        <v>2544</v>
      </c>
      <c r="Q28">
        <v>7500</v>
      </c>
    </row>
    <row r="29" spans="1:17" x14ac:dyDescent="0.25">
      <c r="G29" t="s">
        <v>2544</v>
      </c>
      <c r="K29" t="s">
        <v>1137</v>
      </c>
      <c r="Q29">
        <v>10000</v>
      </c>
    </row>
    <row r="30" spans="1:17" x14ac:dyDescent="0.25">
      <c r="A30" t="s">
        <v>2632</v>
      </c>
      <c r="C30" t="s">
        <v>2634</v>
      </c>
      <c r="G30" t="s">
        <v>1354</v>
      </c>
      <c r="K30" t="s">
        <v>1354</v>
      </c>
    </row>
    <row r="31" spans="1:17" x14ac:dyDescent="0.25">
      <c r="A31" t="s">
        <v>1067</v>
      </c>
      <c r="C31" t="s">
        <v>209</v>
      </c>
    </row>
    <row r="32" spans="1:17" x14ac:dyDescent="0.25">
      <c r="A32" t="s">
        <v>1062</v>
      </c>
      <c r="C32" t="s">
        <v>2635</v>
      </c>
    </row>
    <row r="33" spans="3:3" x14ac:dyDescent="0.25">
      <c r="C33" t="s">
        <v>622</v>
      </c>
    </row>
    <row r="34" spans="3:3" x14ac:dyDescent="0.25">
      <c r="C34" t="s">
        <v>1062</v>
      </c>
    </row>
  </sheetData>
  <pageMargins left="0.7" right="0.7" top="0.75" bottom="0.75" header="0.3" footer="0.3"/>
  <pageSetup orientation="portrait" verticalDpi="597"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579DA4-E252-4CAC-AADE-383D6618E04D}">
  <sheetPr codeName="Sheet26"/>
  <dimension ref="A1:E626"/>
  <sheetViews>
    <sheetView topLeftCell="J1" workbookViewId="0">
      <selection activeCell="AE16" sqref="AE16"/>
    </sheetView>
  </sheetViews>
  <sheetFormatPr defaultRowHeight="15" x14ac:dyDescent="0.25"/>
  <cols>
    <col min="1" max="1" width="16.7109375" customWidth="1"/>
    <col min="2" max="2" width="55.140625" customWidth="1"/>
    <col min="3" max="3" width="26.140625" customWidth="1"/>
    <col min="4" max="4" width="11.140625" customWidth="1"/>
  </cols>
  <sheetData>
    <row r="1" spans="1:5" x14ac:dyDescent="0.25">
      <c r="A1" t="s">
        <v>2459</v>
      </c>
      <c r="B1" t="s">
        <v>1101</v>
      </c>
      <c r="C1" t="s">
        <v>1418</v>
      </c>
    </row>
    <row r="2" spans="1:5" x14ac:dyDescent="0.25">
      <c r="A2">
        <v>152201</v>
      </c>
      <c r="B2" t="s">
        <v>1493</v>
      </c>
      <c r="C2" t="s">
        <v>1449</v>
      </c>
      <c r="E2" s="7"/>
    </row>
    <row r="3" spans="1:5" x14ac:dyDescent="0.25">
      <c r="A3">
        <v>152202</v>
      </c>
      <c r="B3" t="s">
        <v>1494</v>
      </c>
      <c r="C3" t="s">
        <v>1449</v>
      </c>
      <c r="E3" s="7"/>
    </row>
    <row r="4" spans="1:5" x14ac:dyDescent="0.25">
      <c r="A4">
        <v>162500</v>
      </c>
      <c r="B4" t="s">
        <v>1512</v>
      </c>
      <c r="C4" t="s">
        <v>1449</v>
      </c>
    </row>
    <row r="5" spans="1:5" x14ac:dyDescent="0.25">
      <c r="A5">
        <v>173102</v>
      </c>
      <c r="B5" t="s">
        <v>1538</v>
      </c>
      <c r="C5" t="s">
        <v>1449</v>
      </c>
    </row>
    <row r="6" spans="1:5" x14ac:dyDescent="0.25">
      <c r="A6">
        <v>173600</v>
      </c>
      <c r="B6" t="s">
        <v>1546</v>
      </c>
      <c r="C6" t="s">
        <v>1449</v>
      </c>
    </row>
    <row r="7" spans="1:5" x14ac:dyDescent="0.25">
      <c r="A7">
        <v>173602</v>
      </c>
      <c r="B7" t="s">
        <v>1547</v>
      </c>
      <c r="C7" t="s">
        <v>1449</v>
      </c>
    </row>
    <row r="8" spans="1:5" x14ac:dyDescent="0.25">
      <c r="A8">
        <v>357000</v>
      </c>
      <c r="B8" t="s">
        <v>1712</v>
      </c>
      <c r="C8" t="s">
        <v>1398</v>
      </c>
    </row>
    <row r="9" spans="1:5" x14ac:dyDescent="0.25">
      <c r="A9">
        <v>357100</v>
      </c>
      <c r="B9" t="s">
        <v>1713</v>
      </c>
      <c r="C9" t="s">
        <v>1439</v>
      </c>
    </row>
    <row r="10" spans="1:5" x14ac:dyDescent="0.25">
      <c r="A10">
        <v>357200</v>
      </c>
      <c r="B10" t="s">
        <v>1714</v>
      </c>
      <c r="C10" t="s">
        <v>1439</v>
      </c>
    </row>
    <row r="11" spans="1:5" x14ac:dyDescent="0.25">
      <c r="A11">
        <v>359000</v>
      </c>
      <c r="B11" t="s">
        <v>1720</v>
      </c>
      <c r="C11" t="s">
        <v>1439</v>
      </c>
    </row>
    <row r="12" spans="1:5" x14ac:dyDescent="0.25">
      <c r="A12">
        <v>369000</v>
      </c>
      <c r="B12" t="s">
        <v>1728</v>
      </c>
      <c r="C12" t="s">
        <v>1439</v>
      </c>
    </row>
    <row r="13" spans="1:5" x14ac:dyDescent="0.25">
      <c r="A13">
        <v>491000</v>
      </c>
      <c r="B13" t="s">
        <v>1830</v>
      </c>
      <c r="C13" t="s">
        <v>1824</v>
      </c>
    </row>
    <row r="14" spans="1:5" x14ac:dyDescent="0.25">
      <c r="A14">
        <v>509101</v>
      </c>
      <c r="B14" t="s">
        <v>1875</v>
      </c>
      <c r="C14" t="s">
        <v>1844</v>
      </c>
    </row>
    <row r="15" spans="1:5" x14ac:dyDescent="0.25">
      <c r="A15">
        <v>509102</v>
      </c>
      <c r="B15" t="s">
        <v>1876</v>
      </c>
      <c r="C15" t="s">
        <v>1844</v>
      </c>
    </row>
    <row r="16" spans="1:5" x14ac:dyDescent="0.25">
      <c r="A16">
        <v>509200</v>
      </c>
      <c r="B16" t="s">
        <v>1877</v>
      </c>
      <c r="C16" t="s">
        <v>1844</v>
      </c>
    </row>
    <row r="17" spans="1:3" x14ac:dyDescent="0.25">
      <c r="A17">
        <v>552300</v>
      </c>
      <c r="B17" t="s">
        <v>1988</v>
      </c>
      <c r="C17" t="s">
        <v>1980</v>
      </c>
    </row>
    <row r="18" spans="1:3" x14ac:dyDescent="0.25">
      <c r="A18">
        <v>740801</v>
      </c>
      <c r="B18" t="s">
        <v>2207</v>
      </c>
      <c r="C18" t="s">
        <v>1449</v>
      </c>
    </row>
    <row r="19" spans="1:3" x14ac:dyDescent="0.25">
      <c r="A19">
        <v>769200</v>
      </c>
      <c r="B19" t="s">
        <v>2230</v>
      </c>
      <c r="C19" t="s">
        <v>115</v>
      </c>
    </row>
    <row r="54" spans="5:5" x14ac:dyDescent="0.25">
      <c r="E54" s="7"/>
    </row>
    <row r="55" spans="5:5" x14ac:dyDescent="0.25">
      <c r="E55" s="7"/>
    </row>
    <row r="92" spans="5:5" x14ac:dyDescent="0.25">
      <c r="E92" s="7"/>
    </row>
    <row r="93" spans="5:5" x14ac:dyDescent="0.25">
      <c r="E93" s="7"/>
    </row>
    <row r="625" spans="5:5" x14ac:dyDescent="0.25">
      <c r="E625" s="7"/>
    </row>
    <row r="626" spans="5:5" x14ac:dyDescent="0.25">
      <c r="E626" s="7"/>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FF0000"/>
  </sheetPr>
  <dimension ref="A1:CI201"/>
  <sheetViews>
    <sheetView zoomScale="85" zoomScaleNormal="85" workbookViewId="0">
      <pane xSplit="1" ySplit="4" topLeftCell="AG5" activePane="bottomRight" state="frozen"/>
      <selection activeCell="AG27" sqref="AG27:AG28"/>
      <selection pane="topRight" activeCell="AG27" sqref="AG27:AG28"/>
      <selection pane="bottomLeft" activeCell="AG27" sqref="AG27:AG28"/>
      <selection pane="bottomRight" activeCell="AI5" sqref="AI5"/>
    </sheetView>
  </sheetViews>
  <sheetFormatPr defaultColWidth="9.140625" defaultRowHeight="15" x14ac:dyDescent="0.25"/>
  <cols>
    <col min="1" max="1" width="12.42578125" style="3" bestFit="1" customWidth="1"/>
    <col min="2" max="2" width="20.7109375" style="3" customWidth="1"/>
    <col min="3" max="3" width="13.85546875" style="3" customWidth="1"/>
    <col min="4" max="4" width="29.42578125" style="1" customWidth="1"/>
    <col min="5" max="5" width="24.140625" style="1" hidden="1" customWidth="1"/>
    <col min="6" max="6" width="32.140625" style="3" customWidth="1"/>
    <col min="7" max="10" width="11.28515625" style="3" customWidth="1"/>
    <col min="11" max="13" width="11.28515625" style="3" hidden="1" customWidth="1"/>
    <col min="14" max="14" width="13.5703125" style="1" hidden="1" customWidth="1"/>
    <col min="15" max="15" width="13.5703125" style="3" hidden="1" customWidth="1"/>
    <col min="16" max="16" width="9.140625" style="1" customWidth="1"/>
    <col min="17" max="17" width="8.7109375" style="1" bestFit="1" customWidth="1"/>
    <col min="18" max="18" width="10.140625" style="1" bestFit="1" customWidth="1"/>
    <col min="19" max="19" width="10.140625" style="1" customWidth="1"/>
    <col min="20" max="20" width="10.85546875" style="1" bestFit="1" customWidth="1"/>
    <col min="21" max="22" width="10.7109375" style="3" bestFit="1" customWidth="1"/>
    <col min="23" max="23" width="11.28515625" style="3" customWidth="1"/>
    <col min="24" max="24" width="9.85546875" style="3" customWidth="1"/>
    <col min="25" max="25" width="18.5703125" style="3" bestFit="1" customWidth="1"/>
    <col min="26" max="26" width="16.5703125" style="3" bestFit="1" customWidth="1"/>
    <col min="27" max="27" width="16.5703125" style="1" customWidth="1"/>
    <col min="28" max="28" width="16.5703125" style="3" customWidth="1"/>
    <col min="29" max="30" width="16.5703125" style="1" customWidth="1"/>
    <col min="31" max="46" width="16.5703125" style="3" customWidth="1"/>
    <col min="47" max="49" width="17.28515625" style="3" customWidth="1"/>
    <col min="50" max="54" width="23.140625" style="3" customWidth="1"/>
    <col min="55" max="58" width="9.140625" style="3"/>
    <col min="59" max="59" width="12.42578125" style="3" customWidth="1"/>
    <col min="60" max="60" width="9.140625" style="3"/>
    <col min="61" max="63" width="10.85546875" style="3" customWidth="1"/>
    <col min="64" max="64" width="17" style="3" customWidth="1"/>
    <col min="65" max="65" width="9.140625" style="3"/>
    <col min="66" max="66" width="14" style="3" bestFit="1" customWidth="1"/>
    <col min="67" max="67" width="11.28515625" style="3" customWidth="1"/>
    <col min="68" max="69" width="11.5703125" style="3" customWidth="1"/>
    <col min="70" max="70" width="21" style="3" customWidth="1"/>
    <col min="71" max="71" width="12.5703125" style="3" customWidth="1"/>
    <col min="72" max="78" width="14.5703125" style="3" customWidth="1"/>
    <col min="79" max="80" width="14.42578125" style="3" customWidth="1"/>
    <col min="81" max="81" width="13" style="3" customWidth="1"/>
    <col min="82" max="82" width="11" style="3" customWidth="1"/>
    <col min="83" max="86" width="15.140625" style="3" customWidth="1"/>
    <col min="87" max="87" width="64.28515625" style="1" bestFit="1" customWidth="1"/>
    <col min="88" max="16384" width="9.140625" style="3"/>
  </cols>
  <sheetData>
    <row r="1" spans="1:87" ht="15.75" x14ac:dyDescent="0.25">
      <c r="A1" s="8" t="s">
        <v>101</v>
      </c>
    </row>
    <row r="2" spans="1:87" x14ac:dyDescent="0.25">
      <c r="B2" s="3" t="s">
        <v>0</v>
      </c>
    </row>
    <row r="3" spans="1:87" ht="34.15" customHeight="1" thickBot="1" x14ac:dyDescent="0.3">
      <c r="A3" s="525" t="s">
        <v>19</v>
      </c>
      <c r="B3" s="526"/>
      <c r="C3" s="526"/>
      <c r="D3" s="526"/>
      <c r="E3" s="526"/>
      <c r="F3" s="527" t="s">
        <v>99</v>
      </c>
      <c r="G3" s="526"/>
      <c r="H3" s="526"/>
      <c r="I3" s="526"/>
      <c r="J3" s="526"/>
      <c r="K3" s="526"/>
      <c r="L3" s="526"/>
      <c r="M3" s="526"/>
      <c r="N3" s="526"/>
      <c r="O3" s="526"/>
      <c r="P3" s="524" t="s">
        <v>25</v>
      </c>
      <c r="Q3" s="524"/>
      <c r="R3" s="524"/>
      <c r="S3" s="524"/>
      <c r="T3" s="524"/>
      <c r="U3" s="524"/>
      <c r="V3" s="524"/>
      <c r="W3" s="10"/>
      <c r="X3" s="10"/>
      <c r="Y3" s="3" t="s">
        <v>41</v>
      </c>
      <c r="AX3" s="75" t="s">
        <v>40</v>
      </c>
      <c r="AY3" s="75"/>
      <c r="AZ3" s="75"/>
      <c r="BA3" s="75"/>
      <c r="BB3" s="75"/>
      <c r="BC3" s="10"/>
      <c r="BD3" s="10"/>
      <c r="BE3" s="10"/>
      <c r="BF3" s="11"/>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row>
    <row r="4" spans="1:87" ht="105.75" thickBot="1" x14ac:dyDescent="0.3">
      <c r="A4" s="161" t="s">
        <v>9</v>
      </c>
      <c r="B4" s="162" t="s">
        <v>1</v>
      </c>
      <c r="C4" s="163" t="s">
        <v>5</v>
      </c>
      <c r="D4" s="163" t="s">
        <v>102</v>
      </c>
      <c r="E4" s="163" t="s">
        <v>123</v>
      </c>
      <c r="F4" s="16" t="s">
        <v>267</v>
      </c>
      <c r="G4" s="16" t="s">
        <v>268</v>
      </c>
      <c r="H4" s="16" t="s">
        <v>95</v>
      </c>
      <c r="I4" s="16" t="s">
        <v>96</v>
      </c>
      <c r="J4" s="16" t="s">
        <v>94</v>
      </c>
      <c r="K4" s="15" t="s">
        <v>97</v>
      </c>
      <c r="L4" s="27" t="s">
        <v>129</v>
      </c>
      <c r="M4" s="25" t="s">
        <v>130</v>
      </c>
      <c r="N4" s="15" t="s">
        <v>98</v>
      </c>
      <c r="O4" s="17" t="s">
        <v>110</v>
      </c>
      <c r="P4" s="15" t="s">
        <v>13</v>
      </c>
      <c r="Q4" s="15" t="s">
        <v>14</v>
      </c>
      <c r="R4" s="15" t="s">
        <v>15</v>
      </c>
      <c r="S4" s="15" t="s">
        <v>312</v>
      </c>
      <c r="T4" s="15" t="s">
        <v>16</v>
      </c>
      <c r="U4" s="15" t="s">
        <v>11</v>
      </c>
      <c r="V4" s="15" t="s">
        <v>12</v>
      </c>
      <c r="W4" s="16" t="s">
        <v>317</v>
      </c>
      <c r="X4" s="16" t="s">
        <v>318</v>
      </c>
      <c r="Y4" s="18" t="s">
        <v>20</v>
      </c>
      <c r="Z4" s="18" t="s">
        <v>21</v>
      </c>
      <c r="AA4" s="18" t="s">
        <v>208</v>
      </c>
      <c r="AB4" s="18" t="s">
        <v>209</v>
      </c>
      <c r="AC4" s="18" t="s">
        <v>215</v>
      </c>
      <c r="AD4" s="18" t="s">
        <v>272</v>
      </c>
      <c r="AE4" s="18" t="s">
        <v>121</v>
      </c>
      <c r="AF4" s="18" t="s">
        <v>28</v>
      </c>
      <c r="AG4" s="18" t="s">
        <v>29</v>
      </c>
      <c r="AH4" s="18" t="s">
        <v>30</v>
      </c>
      <c r="AI4" s="18" t="s">
        <v>31</v>
      </c>
      <c r="AJ4" s="18" t="s">
        <v>327</v>
      </c>
      <c r="AK4" s="18" t="s">
        <v>139</v>
      </c>
      <c r="AL4" s="18" t="s">
        <v>219</v>
      </c>
      <c r="AM4" s="18" t="s">
        <v>32</v>
      </c>
      <c r="AN4" s="18" t="s">
        <v>33</v>
      </c>
      <c r="AO4" s="18" t="s">
        <v>328</v>
      </c>
      <c r="AP4" s="18" t="s">
        <v>222</v>
      </c>
      <c r="AQ4" s="18" t="s">
        <v>34</v>
      </c>
      <c r="AR4" s="18" t="s">
        <v>35</v>
      </c>
      <c r="AS4" s="18" t="s">
        <v>36</v>
      </c>
      <c r="AT4" s="18" t="s">
        <v>37</v>
      </c>
      <c r="AU4" s="18" t="s">
        <v>38</v>
      </c>
      <c r="AV4" s="18" t="s">
        <v>39</v>
      </c>
      <c r="AW4" s="19" t="s">
        <v>137</v>
      </c>
      <c r="AX4" s="18" t="s">
        <v>90</v>
      </c>
      <c r="AY4" s="18" t="s">
        <v>50</v>
      </c>
      <c r="AZ4" s="18" t="s">
        <v>52</v>
      </c>
      <c r="BA4" s="18" t="s">
        <v>53</v>
      </c>
      <c r="BB4" s="20" t="s">
        <v>296</v>
      </c>
      <c r="BC4" s="20" t="s">
        <v>17</v>
      </c>
      <c r="BD4" s="20" t="s">
        <v>42</v>
      </c>
      <c r="BE4" s="20" t="s">
        <v>43</v>
      </c>
      <c r="BF4" s="20" t="s">
        <v>18</v>
      </c>
      <c r="BG4" s="20" t="s">
        <v>44</v>
      </c>
      <c r="BH4" s="20" t="s">
        <v>45</v>
      </c>
      <c r="BI4" s="20" t="s">
        <v>223</v>
      </c>
      <c r="BJ4" s="20" t="s">
        <v>332</v>
      </c>
      <c r="BK4" s="20" t="s">
        <v>333</v>
      </c>
      <c r="BL4" s="20" t="s">
        <v>225</v>
      </c>
      <c r="BM4" s="20" t="s">
        <v>229</v>
      </c>
      <c r="BN4" s="20" t="s">
        <v>54</v>
      </c>
      <c r="BO4" s="20" t="s">
        <v>114</v>
      </c>
      <c r="BP4" s="17" t="s">
        <v>112</v>
      </c>
      <c r="BQ4" s="17" t="s">
        <v>117</v>
      </c>
      <c r="BR4" s="20" t="s">
        <v>55</v>
      </c>
      <c r="BS4" s="20" t="s">
        <v>56</v>
      </c>
      <c r="BT4" s="20" t="s">
        <v>57</v>
      </c>
      <c r="BU4" s="20" t="s">
        <v>58</v>
      </c>
      <c r="BV4" s="20" t="s">
        <v>59</v>
      </c>
      <c r="BW4" s="20" t="s">
        <v>60</v>
      </c>
      <c r="BX4" s="20" t="s">
        <v>61</v>
      </c>
      <c r="BY4" s="21" t="s">
        <v>62</v>
      </c>
      <c r="BZ4" s="21" t="s">
        <v>340</v>
      </c>
      <c r="CA4" s="20" t="s">
        <v>80</v>
      </c>
      <c r="CB4" s="18" t="s">
        <v>81</v>
      </c>
      <c r="CC4" s="20" t="s">
        <v>82</v>
      </c>
      <c r="CD4" s="18" t="s">
        <v>83</v>
      </c>
      <c r="CE4" s="20" t="s">
        <v>84</v>
      </c>
      <c r="CF4" s="18" t="s">
        <v>85</v>
      </c>
      <c r="CG4" s="20" t="s">
        <v>86</v>
      </c>
      <c r="CH4" s="18" t="s">
        <v>87</v>
      </c>
      <c r="CI4" s="22" t="s">
        <v>22</v>
      </c>
    </row>
    <row r="5" spans="1:87" ht="270" x14ac:dyDescent="0.25">
      <c r="A5" s="28" t="s">
        <v>10</v>
      </c>
      <c r="B5" s="12" t="s">
        <v>2</v>
      </c>
      <c r="C5" s="12" t="s">
        <v>6</v>
      </c>
      <c r="D5" s="23" t="s">
        <v>91</v>
      </c>
      <c r="E5" s="24" t="s">
        <v>104</v>
      </c>
      <c r="F5" s="12">
        <v>0.08</v>
      </c>
      <c r="G5" s="12"/>
      <c r="H5" s="12"/>
      <c r="I5" s="12"/>
      <c r="J5" s="12"/>
      <c r="K5" s="13" t="s">
        <v>100</v>
      </c>
      <c r="L5" s="13" t="s">
        <v>131</v>
      </c>
      <c r="M5" s="12" t="s">
        <v>135</v>
      </c>
      <c r="N5" s="13" t="s">
        <v>109</v>
      </c>
      <c r="O5" s="13" t="s">
        <v>111</v>
      </c>
      <c r="P5" s="13">
        <v>0.05</v>
      </c>
      <c r="Q5" s="13">
        <v>0.05</v>
      </c>
      <c r="R5" s="13">
        <v>0.05</v>
      </c>
      <c r="S5" s="13"/>
      <c r="T5" s="13">
        <v>0.1</v>
      </c>
      <c r="U5" s="12">
        <v>0.05</v>
      </c>
      <c r="V5" s="12">
        <v>0.12</v>
      </c>
      <c r="W5" s="12" t="s">
        <v>46</v>
      </c>
      <c r="X5" s="12" t="s">
        <v>46</v>
      </c>
      <c r="Y5" s="12" t="s">
        <v>26</v>
      </c>
      <c r="Z5" s="12" t="s">
        <v>27</v>
      </c>
      <c r="AA5" s="13" t="s">
        <v>46</v>
      </c>
      <c r="AB5" s="12" t="s">
        <v>46</v>
      </c>
      <c r="AC5" s="13" t="s">
        <v>46</v>
      </c>
      <c r="AD5" s="13" t="s">
        <v>46</v>
      </c>
      <c r="AE5" s="12" t="s">
        <v>122</v>
      </c>
      <c r="AF5" s="12">
        <v>50</v>
      </c>
      <c r="AG5" s="12">
        <v>75</v>
      </c>
      <c r="AH5" s="12">
        <v>150</v>
      </c>
      <c r="AI5" s="12">
        <v>200</v>
      </c>
      <c r="AJ5" s="12" t="s">
        <v>46</v>
      </c>
      <c r="AK5" s="12"/>
      <c r="AL5" s="12" t="s">
        <v>46</v>
      </c>
      <c r="AM5" s="12">
        <v>50</v>
      </c>
      <c r="AN5" s="12">
        <v>100</v>
      </c>
      <c r="AO5" s="12" t="s">
        <v>46</v>
      </c>
      <c r="AP5" s="12"/>
      <c r="AQ5" s="12">
        <v>25</v>
      </c>
      <c r="AR5" s="12">
        <v>50</v>
      </c>
      <c r="AS5" s="12">
        <v>75</v>
      </c>
      <c r="AT5" s="12">
        <v>125</v>
      </c>
      <c r="AU5" s="12">
        <v>150</v>
      </c>
      <c r="AV5" s="12">
        <v>50</v>
      </c>
      <c r="AW5" s="13" t="s">
        <v>246</v>
      </c>
      <c r="AX5" s="12">
        <v>0.05</v>
      </c>
      <c r="AY5" s="12" t="s">
        <v>47</v>
      </c>
      <c r="AZ5" s="12">
        <v>75</v>
      </c>
      <c r="BA5" s="12">
        <v>150</v>
      </c>
      <c r="BB5" s="85" t="str">
        <f>$BB$16</f>
        <v>Flood Instructions</v>
      </c>
      <c r="BC5" s="58">
        <v>275</v>
      </c>
      <c r="BD5" s="58">
        <v>50</v>
      </c>
      <c r="BE5" s="58">
        <v>50</v>
      </c>
      <c r="BF5" s="58">
        <v>325</v>
      </c>
      <c r="BG5" s="58">
        <v>60</v>
      </c>
      <c r="BH5" s="58">
        <v>60</v>
      </c>
      <c r="BI5" s="58"/>
      <c r="BJ5" s="58"/>
      <c r="BK5" s="58"/>
      <c r="BL5" s="58"/>
      <c r="BM5" s="58" t="s">
        <v>46</v>
      </c>
      <c r="BN5" s="58" t="s">
        <v>79</v>
      </c>
      <c r="BO5" s="79">
        <v>100</v>
      </c>
      <c r="BP5" s="14" t="s">
        <v>113</v>
      </c>
      <c r="BQ5" s="14" t="s">
        <v>118</v>
      </c>
      <c r="BR5" s="61" t="s">
        <v>63</v>
      </c>
      <c r="BS5" s="61" t="s">
        <v>64</v>
      </c>
      <c r="BT5" s="61" t="s">
        <v>65</v>
      </c>
      <c r="BU5" s="61" t="s">
        <v>67</v>
      </c>
      <c r="BV5" s="61" t="s">
        <v>68</v>
      </c>
      <c r="BW5" s="61" t="s">
        <v>69</v>
      </c>
      <c r="BX5" s="61" t="s">
        <v>70</v>
      </c>
      <c r="BY5" s="14" t="s">
        <v>66</v>
      </c>
      <c r="BZ5" s="14"/>
      <c r="CA5" s="58">
        <v>2500</v>
      </c>
      <c r="CB5" s="58">
        <v>321</v>
      </c>
      <c r="CC5" s="58">
        <v>2500</v>
      </c>
      <c r="CD5" s="58" t="s">
        <v>46</v>
      </c>
      <c r="CE5" s="58">
        <v>1000</v>
      </c>
      <c r="CF5" s="58">
        <v>82</v>
      </c>
      <c r="CG5" s="58">
        <v>1000</v>
      </c>
      <c r="CH5" s="58">
        <v>114</v>
      </c>
    </row>
    <row r="6" spans="1:87" ht="105" x14ac:dyDescent="0.25">
      <c r="A6" s="29" t="s">
        <v>10</v>
      </c>
      <c r="B6" s="4" t="s">
        <v>3</v>
      </c>
      <c r="C6" s="4" t="s">
        <v>6</v>
      </c>
      <c r="D6" s="2"/>
      <c r="E6" s="2"/>
      <c r="F6" s="4">
        <v>0.17</v>
      </c>
      <c r="G6" s="4"/>
      <c r="H6" s="4"/>
      <c r="I6" s="4"/>
      <c r="J6" s="4"/>
      <c r="K6" s="2" t="s">
        <v>108</v>
      </c>
      <c r="L6" s="2" t="s">
        <v>132</v>
      </c>
      <c r="M6" s="2" t="s">
        <v>136</v>
      </c>
      <c r="N6" s="2"/>
      <c r="O6" s="4"/>
      <c r="P6" s="2"/>
      <c r="Q6" s="2"/>
      <c r="R6" s="2"/>
      <c r="S6" s="2"/>
      <c r="T6" s="2"/>
      <c r="U6" s="4"/>
      <c r="V6" s="4"/>
      <c r="W6" s="4"/>
      <c r="X6" s="4"/>
      <c r="Y6" s="4"/>
      <c r="Z6" s="4"/>
      <c r="AA6" s="2"/>
      <c r="AB6" s="4"/>
      <c r="AC6" s="2"/>
      <c r="AD6" s="2"/>
      <c r="AE6" s="4"/>
      <c r="AF6" s="4"/>
      <c r="AG6" s="4"/>
      <c r="AH6" s="4"/>
      <c r="AI6" s="4"/>
      <c r="AJ6" s="4"/>
      <c r="AK6" s="4"/>
      <c r="AL6" s="4"/>
      <c r="AM6" s="4"/>
      <c r="AN6" s="4"/>
      <c r="AO6" s="4"/>
      <c r="AP6" s="4"/>
      <c r="AQ6" s="4"/>
      <c r="AR6" s="4"/>
      <c r="AS6" s="4"/>
      <c r="AT6" s="4"/>
      <c r="AU6" s="4"/>
      <c r="AV6" s="4"/>
      <c r="AW6" s="2" t="s">
        <v>88</v>
      </c>
      <c r="AX6" s="4"/>
      <c r="AY6" s="4" t="s">
        <v>51</v>
      </c>
      <c r="AZ6" s="4">
        <v>100</v>
      </c>
      <c r="BA6" s="4">
        <v>200</v>
      </c>
      <c r="BB6" s="4"/>
      <c r="BC6" s="64"/>
      <c r="BD6" s="64"/>
      <c r="BE6" s="64"/>
      <c r="BF6" s="64"/>
      <c r="BG6" s="59"/>
      <c r="BH6" s="59"/>
      <c r="BI6" s="59"/>
      <c r="BJ6" s="59"/>
      <c r="BK6" s="59"/>
      <c r="BL6" s="59"/>
      <c r="BM6" s="59"/>
      <c r="BN6" s="59"/>
      <c r="BO6" s="59"/>
      <c r="BP6" s="59"/>
      <c r="BQ6" s="9" t="s">
        <v>119</v>
      </c>
      <c r="BR6" s="62" t="s">
        <v>78</v>
      </c>
      <c r="BS6" s="9" t="s">
        <v>77</v>
      </c>
      <c r="BT6" s="9" t="s">
        <v>71</v>
      </c>
      <c r="BU6" s="9" t="s">
        <v>72</v>
      </c>
      <c r="BV6" s="9" t="s">
        <v>73</v>
      </c>
      <c r="BW6" s="9" t="s">
        <v>74</v>
      </c>
      <c r="BX6" s="9" t="s">
        <v>76</v>
      </c>
      <c r="BY6" s="63" t="s">
        <v>75</v>
      </c>
      <c r="BZ6" s="63"/>
      <c r="CA6" s="64">
        <v>5000</v>
      </c>
      <c r="CB6" s="64">
        <v>264</v>
      </c>
      <c r="CC6" s="64">
        <v>5000</v>
      </c>
      <c r="CD6" s="64">
        <v>534</v>
      </c>
      <c r="CE6" s="64">
        <v>2500</v>
      </c>
      <c r="CF6" s="64">
        <v>81</v>
      </c>
      <c r="CG6" s="64">
        <v>2500</v>
      </c>
      <c r="CH6" s="64">
        <v>113</v>
      </c>
      <c r="CI6" s="1" t="s">
        <v>23</v>
      </c>
    </row>
    <row r="7" spans="1:87" ht="105" x14ac:dyDescent="0.25">
      <c r="A7" s="29" t="s">
        <v>10</v>
      </c>
      <c r="B7" s="4" t="s">
        <v>4</v>
      </c>
      <c r="C7" s="4" t="s">
        <v>6</v>
      </c>
      <c r="D7" s="2"/>
      <c r="E7" s="2"/>
      <c r="F7" s="4">
        <v>0.34</v>
      </c>
      <c r="G7" s="4"/>
      <c r="H7" s="4"/>
      <c r="I7" s="4"/>
      <c r="J7" s="4"/>
      <c r="K7" s="4"/>
      <c r="L7" s="2" t="s">
        <v>133</v>
      </c>
      <c r="M7" s="4"/>
      <c r="N7" s="2"/>
      <c r="O7" s="4"/>
      <c r="P7" s="2"/>
      <c r="Q7" s="2"/>
      <c r="R7" s="2"/>
      <c r="S7" s="2"/>
      <c r="T7" s="2"/>
      <c r="U7" s="4"/>
      <c r="V7" s="4"/>
      <c r="W7" s="4"/>
      <c r="X7" s="4"/>
      <c r="Y7" s="4"/>
      <c r="Z7" s="4"/>
      <c r="AA7" s="2"/>
      <c r="AB7" s="4"/>
      <c r="AC7" s="2"/>
      <c r="AD7" s="2"/>
      <c r="AE7" s="4"/>
      <c r="AF7" s="4"/>
      <c r="AG7" s="4"/>
      <c r="AH7" s="4"/>
      <c r="AI7" s="4"/>
      <c r="AJ7" s="4"/>
      <c r="AK7" s="4"/>
      <c r="AL7" s="4"/>
      <c r="AM7" s="4"/>
      <c r="AN7" s="4"/>
      <c r="AO7" s="4"/>
      <c r="AP7" s="4"/>
      <c r="AQ7" s="4"/>
      <c r="AR7" s="4"/>
      <c r="AS7" s="4"/>
      <c r="AT7" s="4"/>
      <c r="AU7" s="4"/>
      <c r="AV7" s="4"/>
      <c r="AW7" s="2" t="s">
        <v>89</v>
      </c>
      <c r="AX7" s="4"/>
      <c r="AY7" s="4" t="s">
        <v>49</v>
      </c>
      <c r="AZ7" s="4">
        <v>125</v>
      </c>
      <c r="BA7" s="4">
        <v>200</v>
      </c>
      <c r="BB7" s="4"/>
      <c r="BC7" s="64"/>
      <c r="BD7" s="64"/>
      <c r="BE7" s="64"/>
      <c r="BF7" s="64"/>
      <c r="BG7" s="59"/>
      <c r="BH7" s="59"/>
      <c r="BI7" s="59"/>
      <c r="BJ7" s="59"/>
      <c r="BK7" s="59"/>
      <c r="BL7" s="59"/>
      <c r="BM7" s="59"/>
      <c r="BN7" s="59"/>
      <c r="BO7" s="59"/>
      <c r="BP7" s="59"/>
      <c r="BQ7" s="9" t="s">
        <v>120</v>
      </c>
      <c r="BR7" s="59"/>
      <c r="BS7" s="59"/>
      <c r="BT7" s="59"/>
      <c r="BU7" s="59"/>
      <c r="BV7" s="59"/>
      <c r="BW7" s="59"/>
      <c r="BX7" s="59"/>
      <c r="BY7" s="59"/>
      <c r="BZ7" s="59"/>
      <c r="CA7" s="64">
        <v>10000</v>
      </c>
      <c r="CB7" s="64">
        <v>235</v>
      </c>
      <c r="CC7" s="64">
        <v>10000</v>
      </c>
      <c r="CD7" s="64">
        <v>304</v>
      </c>
      <c r="CE7" s="64">
        <v>5000</v>
      </c>
      <c r="CF7" s="64">
        <v>78</v>
      </c>
      <c r="CG7" s="64">
        <v>5000</v>
      </c>
      <c r="CH7" s="64">
        <v>111</v>
      </c>
    </row>
    <row r="8" spans="1:87" ht="75" x14ac:dyDescent="0.25">
      <c r="A8" s="29" t="s">
        <v>10</v>
      </c>
      <c r="B8" s="4" t="s">
        <v>2</v>
      </c>
      <c r="C8" s="4" t="s">
        <v>1398</v>
      </c>
      <c r="D8" s="2"/>
      <c r="E8" s="2"/>
      <c r="F8" s="4">
        <v>0.17</v>
      </c>
      <c r="G8" s="4"/>
      <c r="H8" s="4"/>
      <c r="I8" s="4"/>
      <c r="J8" s="4"/>
      <c r="K8" s="4"/>
      <c r="L8" s="2" t="s">
        <v>134</v>
      </c>
      <c r="M8" s="4"/>
      <c r="N8" s="2"/>
      <c r="O8" s="4"/>
      <c r="P8" s="2"/>
      <c r="Q8" s="2"/>
      <c r="R8" s="2"/>
      <c r="S8" s="2"/>
      <c r="T8" s="2"/>
      <c r="U8" s="4"/>
      <c r="V8" s="4"/>
      <c r="W8" s="4"/>
      <c r="X8" s="4"/>
      <c r="Y8" s="4"/>
      <c r="Z8" s="4"/>
      <c r="AA8" s="2"/>
      <c r="AB8" s="4"/>
      <c r="AC8" s="2"/>
      <c r="AD8" s="2"/>
      <c r="AE8" s="4"/>
      <c r="AF8" s="4"/>
      <c r="AG8" s="4"/>
      <c r="AH8" s="4"/>
      <c r="AI8" s="4"/>
      <c r="AJ8" s="4"/>
      <c r="AK8" s="4"/>
      <c r="AL8" s="4"/>
      <c r="AM8" s="4"/>
      <c r="AN8" s="4"/>
      <c r="AO8" s="4"/>
      <c r="AP8" s="4"/>
      <c r="AQ8" s="4"/>
      <c r="AR8" s="4"/>
      <c r="AS8" s="4"/>
      <c r="AT8" s="4"/>
      <c r="AU8" s="4"/>
      <c r="AV8" s="4"/>
      <c r="AW8" s="4"/>
      <c r="AX8" s="4"/>
      <c r="AY8" s="4" t="s">
        <v>48</v>
      </c>
      <c r="AZ8" s="4">
        <v>150</v>
      </c>
      <c r="BA8" s="4">
        <v>250</v>
      </c>
      <c r="BB8" s="4"/>
      <c r="BC8" s="64"/>
      <c r="BD8" s="64"/>
      <c r="BE8" s="64"/>
      <c r="BF8" s="64"/>
      <c r="BG8" s="59"/>
      <c r="BH8" s="59"/>
      <c r="BI8" s="59"/>
      <c r="BJ8" s="59"/>
      <c r="BK8" s="59"/>
      <c r="BL8" s="59"/>
      <c r="BM8" s="59"/>
      <c r="BN8" s="59"/>
      <c r="BO8" s="59"/>
      <c r="BP8" s="59"/>
      <c r="BQ8" s="59"/>
      <c r="BR8" s="59"/>
      <c r="BS8" s="59"/>
      <c r="BT8" s="59"/>
      <c r="BU8" s="59"/>
      <c r="BV8" s="59"/>
      <c r="BW8" s="59"/>
      <c r="BX8" s="59"/>
      <c r="BY8" s="59"/>
      <c r="BZ8" s="59"/>
      <c r="CA8" s="4"/>
      <c r="CB8" s="64" t="s">
        <v>23</v>
      </c>
      <c r="CC8" s="64" t="s">
        <v>23</v>
      </c>
      <c r="CD8" s="64"/>
      <c r="CE8" s="64"/>
      <c r="CF8" s="64"/>
      <c r="CG8" s="64">
        <v>10000</v>
      </c>
      <c r="CH8" s="64">
        <v>108</v>
      </c>
      <c r="CI8" s="1" t="s">
        <v>23</v>
      </c>
    </row>
    <row r="9" spans="1:87" x14ac:dyDescent="0.25">
      <c r="A9" s="29" t="s">
        <v>10</v>
      </c>
      <c r="B9" s="4" t="s">
        <v>3</v>
      </c>
      <c r="C9" s="4" t="s">
        <v>7</v>
      </c>
      <c r="D9" s="2"/>
      <c r="E9" s="2"/>
      <c r="F9" s="4">
        <v>0.22</v>
      </c>
      <c r="G9" s="4"/>
      <c r="H9" s="4"/>
      <c r="I9" s="4"/>
      <c r="J9" s="4"/>
      <c r="K9" s="4"/>
      <c r="L9" s="4"/>
      <c r="M9" s="4"/>
      <c r="N9" s="2"/>
      <c r="O9" s="4"/>
      <c r="P9" s="2"/>
      <c r="Q9" s="2"/>
      <c r="R9" s="2"/>
      <c r="S9" s="2"/>
      <c r="T9" s="2"/>
      <c r="U9" s="4"/>
      <c r="V9" s="4"/>
      <c r="W9" s="4"/>
      <c r="X9" s="4"/>
      <c r="Y9" s="4"/>
      <c r="Z9" s="4"/>
      <c r="AA9" s="2"/>
      <c r="AB9" s="4"/>
      <c r="AC9" s="2"/>
      <c r="AD9" s="2"/>
      <c r="AE9" s="4"/>
      <c r="AF9" s="4"/>
      <c r="AG9" s="4"/>
      <c r="AH9" s="4"/>
      <c r="AI9" s="4"/>
      <c r="AJ9" s="4"/>
      <c r="AK9" s="4"/>
      <c r="AL9" s="4"/>
      <c r="AM9" s="4"/>
      <c r="AN9" s="4"/>
      <c r="AO9" s="4"/>
      <c r="AP9" s="4"/>
      <c r="AQ9" s="4"/>
      <c r="AR9" s="4"/>
      <c r="AS9" s="4"/>
      <c r="AT9" s="4"/>
      <c r="AU9" s="4"/>
      <c r="AV9" s="4"/>
      <c r="AW9" s="4"/>
      <c r="AX9" s="4"/>
      <c r="AY9" s="4"/>
      <c r="AZ9" s="4"/>
      <c r="BA9" s="4"/>
      <c r="BB9" s="4"/>
      <c r="BC9" s="64"/>
      <c r="BD9" s="64"/>
      <c r="BE9" s="64"/>
      <c r="BF9" s="64"/>
      <c r="BG9" s="59"/>
      <c r="BH9" s="59"/>
      <c r="BI9" s="59"/>
      <c r="BJ9" s="59"/>
      <c r="BK9" s="59"/>
      <c r="BL9" s="59"/>
      <c r="BM9" s="59"/>
      <c r="BN9" s="59"/>
      <c r="BO9" s="59"/>
      <c r="BP9" s="59"/>
      <c r="BQ9" s="59"/>
      <c r="BR9" s="59"/>
      <c r="BS9" s="59"/>
      <c r="BT9" s="59"/>
      <c r="BU9" s="59"/>
      <c r="BV9" s="59"/>
      <c r="BW9" s="59"/>
      <c r="BX9" s="59"/>
      <c r="BY9" s="59"/>
      <c r="BZ9" s="59"/>
      <c r="CB9" s="59"/>
      <c r="CC9" s="59"/>
      <c r="CD9" s="59"/>
      <c r="CE9" s="59"/>
      <c r="CF9" s="59"/>
      <c r="CG9" s="59"/>
      <c r="CH9" s="59"/>
    </row>
    <row r="10" spans="1:87" x14ac:dyDescent="0.25">
      <c r="A10" s="29" t="s">
        <v>10</v>
      </c>
      <c r="B10" s="4" t="s">
        <v>4</v>
      </c>
      <c r="C10" s="4" t="s">
        <v>7</v>
      </c>
      <c r="D10" s="2"/>
      <c r="E10" s="2"/>
      <c r="F10" s="4">
        <v>0.38</v>
      </c>
      <c r="G10" s="4"/>
      <c r="H10" s="4"/>
      <c r="I10" s="4"/>
      <c r="J10" s="4"/>
      <c r="K10" s="4"/>
      <c r="L10" s="4"/>
      <c r="M10" s="4"/>
      <c r="N10" s="2"/>
      <c r="O10" s="4"/>
      <c r="P10" s="2"/>
      <c r="Q10" s="2"/>
      <c r="R10" s="2"/>
      <c r="S10" s="2"/>
      <c r="T10" s="2"/>
      <c r="U10" s="4"/>
      <c r="V10" s="4"/>
      <c r="W10" s="4"/>
      <c r="X10" s="4"/>
      <c r="Y10" s="4"/>
      <c r="Z10" s="4"/>
      <c r="AA10" s="2"/>
      <c r="AB10" s="4"/>
      <c r="AC10" s="2"/>
      <c r="AD10" s="2"/>
      <c r="AE10" s="4"/>
      <c r="AF10" s="4"/>
      <c r="AG10" s="4"/>
      <c r="AH10" s="4"/>
      <c r="AI10" s="4"/>
      <c r="AJ10" s="4"/>
      <c r="AK10" s="4"/>
      <c r="AL10" s="4"/>
      <c r="AM10" s="4"/>
      <c r="AN10" s="4"/>
      <c r="AO10" s="4"/>
      <c r="AP10" s="4"/>
      <c r="AQ10" s="4"/>
      <c r="AR10" s="4"/>
      <c r="AS10" s="4"/>
      <c r="AT10" s="4"/>
      <c r="AU10" s="4"/>
      <c r="AV10" s="4"/>
      <c r="AW10" s="4"/>
      <c r="AX10" s="4"/>
      <c r="AY10" s="4"/>
      <c r="AZ10" s="4"/>
      <c r="BA10" s="4"/>
      <c r="BB10" s="4"/>
      <c r="BC10" s="64"/>
      <c r="BD10" s="64"/>
      <c r="BE10" s="64"/>
      <c r="BF10" s="64"/>
      <c r="BG10" s="59"/>
      <c r="BH10" s="59"/>
      <c r="BI10" s="59"/>
      <c r="BJ10" s="59"/>
      <c r="BK10" s="59"/>
      <c r="BL10" s="59"/>
      <c r="BM10" s="59"/>
      <c r="BN10" s="59"/>
      <c r="BO10" s="59"/>
      <c r="BP10" s="59"/>
      <c r="BQ10" s="59"/>
      <c r="BR10" s="59"/>
      <c r="BS10" s="59"/>
      <c r="BT10" s="59"/>
      <c r="BU10" s="59"/>
      <c r="BV10" s="59"/>
      <c r="BW10" s="59"/>
      <c r="BX10" s="59"/>
      <c r="BY10" s="59"/>
      <c r="BZ10" s="59"/>
      <c r="CB10" s="59"/>
      <c r="CC10" s="59"/>
      <c r="CD10" s="59"/>
      <c r="CE10" s="59"/>
      <c r="CF10" s="59"/>
      <c r="CG10" s="59"/>
      <c r="CH10" s="59"/>
    </row>
    <row r="11" spans="1:87" x14ac:dyDescent="0.25">
      <c r="A11" s="29" t="s">
        <v>10</v>
      </c>
      <c r="B11" s="4" t="s">
        <v>2</v>
      </c>
      <c r="C11" s="4" t="s">
        <v>8</v>
      </c>
      <c r="D11" s="2"/>
      <c r="E11" s="2"/>
      <c r="F11" s="4">
        <v>0.24</v>
      </c>
      <c r="G11" s="4"/>
      <c r="H11" s="4"/>
      <c r="I11" s="4"/>
      <c r="J11" s="4"/>
      <c r="K11" s="4"/>
      <c r="L11" s="4"/>
      <c r="M11" s="4"/>
      <c r="N11" s="2"/>
      <c r="O11" s="4"/>
      <c r="P11" s="2"/>
      <c r="Q11" s="2"/>
      <c r="R11" s="2"/>
      <c r="S11" s="2"/>
      <c r="T11" s="2"/>
      <c r="U11" s="4"/>
      <c r="V11" s="4"/>
      <c r="W11" s="4"/>
      <c r="X11" s="4"/>
      <c r="Y11" s="4"/>
      <c r="Z11" s="4"/>
      <c r="AA11" s="2"/>
      <c r="AB11" s="4"/>
      <c r="AC11" s="2"/>
      <c r="AD11" s="2"/>
      <c r="AE11" s="4"/>
      <c r="AF11" s="4"/>
      <c r="AG11" s="4"/>
      <c r="AH11" s="4"/>
      <c r="AI11" s="4"/>
      <c r="AJ11" s="4"/>
      <c r="AK11" s="4"/>
      <c r="AL11" s="4"/>
      <c r="AM11" s="4"/>
      <c r="AN11" s="4"/>
      <c r="AO11" s="4"/>
      <c r="AP11" s="4"/>
      <c r="AQ11" s="4"/>
      <c r="AR11" s="4"/>
      <c r="AS11" s="4"/>
      <c r="AT11" s="4"/>
      <c r="AU11" s="4"/>
      <c r="AV11" s="4"/>
      <c r="AW11" s="4"/>
      <c r="AX11" s="4"/>
      <c r="AY11" s="4"/>
      <c r="AZ11" s="4"/>
      <c r="BA11" s="4"/>
      <c r="BB11" s="4"/>
      <c r="BC11" s="64"/>
      <c r="BD11" s="64"/>
      <c r="BE11" s="64"/>
      <c r="BF11" s="64"/>
      <c r="BG11" s="59"/>
      <c r="BH11" s="59"/>
      <c r="BI11" s="59"/>
      <c r="BJ11" s="59"/>
      <c r="BK11" s="59"/>
      <c r="BL11" s="59"/>
      <c r="BM11" s="59"/>
      <c r="BN11" s="59"/>
      <c r="BO11" s="59"/>
      <c r="BP11" s="59"/>
      <c r="BQ11" s="59"/>
      <c r="BR11" s="59"/>
      <c r="BS11" s="59"/>
      <c r="BT11" s="59"/>
      <c r="BU11" s="59"/>
      <c r="BV11" s="59"/>
      <c r="BW11" s="59"/>
      <c r="BX11" s="59"/>
      <c r="BY11" s="59"/>
      <c r="BZ11" s="59"/>
      <c r="CB11" s="59"/>
      <c r="CC11" s="59"/>
      <c r="CD11" s="59"/>
      <c r="CE11" s="59"/>
      <c r="CF11" s="59"/>
      <c r="CG11" s="59"/>
      <c r="CH11" s="59"/>
    </row>
    <row r="12" spans="1:87" x14ac:dyDescent="0.25">
      <c r="A12" s="29" t="s">
        <v>10</v>
      </c>
      <c r="B12" s="4" t="s">
        <v>3</v>
      </c>
      <c r="C12" s="4" t="s">
        <v>8</v>
      </c>
      <c r="D12" s="2"/>
      <c r="E12" s="2"/>
      <c r="F12" s="4">
        <v>0.38</v>
      </c>
      <c r="G12" s="4"/>
      <c r="H12" s="4"/>
      <c r="I12" s="4"/>
      <c r="J12" s="4"/>
      <c r="K12" s="4"/>
      <c r="L12" s="4"/>
      <c r="M12" s="4"/>
      <c r="N12" s="2"/>
      <c r="O12" s="4"/>
      <c r="P12" s="2"/>
      <c r="Q12" s="2"/>
      <c r="R12" s="2"/>
      <c r="S12" s="2"/>
      <c r="T12" s="2"/>
      <c r="U12" s="4"/>
      <c r="V12" s="4"/>
      <c r="W12" s="4"/>
      <c r="X12" s="4"/>
      <c r="Y12" s="4"/>
      <c r="Z12" s="4"/>
      <c r="AA12" s="2"/>
      <c r="AB12" s="4"/>
      <c r="AC12" s="2"/>
      <c r="AD12" s="2"/>
      <c r="AE12" s="4"/>
      <c r="AF12" s="4"/>
      <c r="AG12" s="4"/>
      <c r="AH12" s="4"/>
      <c r="AI12" s="4"/>
      <c r="AJ12" s="4"/>
      <c r="AK12" s="4"/>
      <c r="AL12" s="4"/>
      <c r="AM12" s="4"/>
      <c r="AN12" s="4"/>
      <c r="AO12" s="4"/>
      <c r="AP12" s="4"/>
      <c r="AQ12" s="4"/>
      <c r="AR12" s="4"/>
      <c r="AS12" s="4"/>
      <c r="AT12" s="4"/>
      <c r="AU12" s="4"/>
      <c r="AV12" s="4"/>
      <c r="AW12" s="4"/>
      <c r="AX12" s="4"/>
      <c r="AY12" s="4"/>
      <c r="AZ12" s="4"/>
      <c r="BA12" s="4"/>
      <c r="BB12" s="4"/>
      <c r="BC12" s="64"/>
      <c r="BD12" s="64"/>
      <c r="BE12" s="64"/>
      <c r="BF12" s="64"/>
      <c r="BG12" s="59"/>
      <c r="BH12" s="59"/>
      <c r="BI12" s="59"/>
      <c r="BJ12" s="59"/>
      <c r="BK12" s="59"/>
      <c r="BL12" s="59"/>
      <c r="BM12" s="59"/>
      <c r="BN12" s="59"/>
      <c r="BO12" s="59"/>
      <c r="BP12" s="59"/>
      <c r="BQ12" s="59"/>
      <c r="BR12" s="59"/>
      <c r="BS12" s="59"/>
      <c r="BT12" s="59"/>
      <c r="BU12" s="59"/>
      <c r="BV12" s="59"/>
      <c r="BW12" s="59"/>
      <c r="BX12" s="59"/>
      <c r="BY12" s="59"/>
      <c r="BZ12" s="59"/>
      <c r="CB12" s="59"/>
      <c r="CC12" s="59"/>
      <c r="CD12" s="59"/>
      <c r="CE12" s="59"/>
      <c r="CF12" s="59"/>
      <c r="CG12" s="59"/>
      <c r="CH12" s="59"/>
    </row>
    <row r="13" spans="1:87" x14ac:dyDescent="0.25">
      <c r="A13" s="29" t="s">
        <v>10</v>
      </c>
      <c r="B13" s="4" t="s">
        <v>4</v>
      </c>
      <c r="C13" s="4" t="s">
        <v>8</v>
      </c>
      <c r="D13" s="2"/>
      <c r="E13" s="2"/>
      <c r="F13" s="4">
        <v>0.44</v>
      </c>
      <c r="G13" s="4"/>
      <c r="H13" s="4"/>
      <c r="I13" s="4"/>
      <c r="J13" s="4"/>
      <c r="K13" s="4"/>
      <c r="L13" s="4"/>
      <c r="M13" s="4"/>
      <c r="N13" s="2"/>
      <c r="O13" s="4"/>
      <c r="P13" s="2"/>
      <c r="Q13" s="2"/>
      <c r="R13" s="2"/>
      <c r="S13" s="2"/>
      <c r="T13" s="2"/>
      <c r="U13" s="4"/>
      <c r="V13" s="4"/>
      <c r="W13" s="4"/>
      <c r="X13" s="4"/>
      <c r="Y13" s="4"/>
      <c r="Z13" s="4"/>
      <c r="AA13" s="2"/>
      <c r="AB13" s="4"/>
      <c r="AC13" s="2"/>
      <c r="AD13" s="2"/>
      <c r="AE13" s="4"/>
      <c r="AF13" s="4"/>
      <c r="AG13" s="4"/>
      <c r="AH13" s="4"/>
      <c r="AI13" t="s">
        <v>1235</v>
      </c>
      <c r="AJ13" s="4" t="str">
        <f t="shared" ref="AJ13:AJ44" si="0">IF($AJ$7="Quote",IFERROR(VLOOKUP(AI13,$AF$7:$AG$240,2,FALSE),"Not included"),"")</f>
        <v/>
      </c>
      <c r="AK13" s="4"/>
      <c r="AL13" s="4"/>
      <c r="AM13" s="4"/>
      <c r="AN13" s="4"/>
      <c r="AO13" s="4"/>
      <c r="AP13" s="4"/>
      <c r="AQ13" s="4"/>
      <c r="AR13" s="4"/>
      <c r="AS13" s="4"/>
      <c r="AT13" s="4"/>
      <c r="AU13" s="4"/>
      <c r="AV13" s="4"/>
      <c r="AW13" s="4"/>
      <c r="AX13" s="4"/>
      <c r="AY13" s="4"/>
      <c r="AZ13" s="4"/>
      <c r="BA13" s="4"/>
      <c r="BB13" s="4"/>
      <c r="BC13" s="64"/>
      <c r="BD13" s="64"/>
      <c r="BE13" s="64"/>
      <c r="BF13" s="64"/>
      <c r="BG13" s="59"/>
      <c r="BH13" s="59" t="s">
        <v>23</v>
      </c>
      <c r="BI13" s="59"/>
      <c r="BJ13" s="59"/>
      <c r="BK13" s="59"/>
      <c r="BL13" s="59"/>
      <c r="BM13" s="59"/>
      <c r="BN13" s="59"/>
      <c r="BO13" s="59"/>
      <c r="BP13" s="59"/>
      <c r="BQ13" s="59"/>
      <c r="BR13" s="59"/>
      <c r="BS13" s="59"/>
      <c r="BT13" s="59"/>
      <c r="BU13" s="59"/>
      <c r="BV13" s="59"/>
      <c r="BW13" s="59"/>
      <c r="BX13" s="59"/>
      <c r="BY13" s="59"/>
      <c r="BZ13" s="59"/>
      <c r="CB13" s="59"/>
      <c r="CC13" s="59"/>
      <c r="CD13" s="59"/>
      <c r="CE13" s="59"/>
      <c r="CF13" s="59"/>
      <c r="CG13" s="59"/>
      <c r="CH13" s="59"/>
      <c r="CI13" s="59" t="s">
        <v>23</v>
      </c>
    </row>
    <row r="14" spans="1:87" ht="30" x14ac:dyDescent="0.25">
      <c r="A14" s="30" t="s">
        <v>10</v>
      </c>
      <c r="B14" s="4"/>
      <c r="C14" s="4"/>
      <c r="AI14" t="s">
        <v>2673</v>
      </c>
      <c r="AJ14" s="3" t="str">
        <f t="shared" si="0"/>
        <v/>
      </c>
      <c r="CI14" s="2" t="s">
        <v>24</v>
      </c>
    </row>
    <row r="15" spans="1:87" ht="45" x14ac:dyDescent="0.25">
      <c r="A15" s="30" t="s">
        <v>10</v>
      </c>
      <c r="B15" s="4"/>
      <c r="C15" s="4"/>
      <c r="F15" s="3" t="s">
        <v>23</v>
      </c>
      <c r="U15" s="3" t="s">
        <v>23</v>
      </c>
      <c r="AI15" t="s">
        <v>2674</v>
      </c>
      <c r="AJ15" s="3" t="str">
        <f t="shared" si="0"/>
        <v/>
      </c>
      <c r="CI15" s="2" t="s">
        <v>116</v>
      </c>
    </row>
    <row r="16" spans="1:87" ht="270" x14ac:dyDescent="0.25">
      <c r="A16" s="31" t="s">
        <v>115</v>
      </c>
      <c r="B16" s="4" t="s">
        <v>2</v>
      </c>
      <c r="C16" s="4" t="s">
        <v>6</v>
      </c>
      <c r="D16" s="23" t="s">
        <v>125</v>
      </c>
      <c r="E16" s="24" t="s">
        <v>126</v>
      </c>
      <c r="F16" s="23" t="s">
        <v>187</v>
      </c>
      <c r="G16" s="23"/>
      <c r="K16" s="13" t="s">
        <v>100</v>
      </c>
      <c r="L16" s="26"/>
      <c r="N16" s="1" t="s">
        <v>269</v>
      </c>
      <c r="O16" s="1" t="s">
        <v>111</v>
      </c>
      <c r="P16" s="1">
        <v>0.05</v>
      </c>
      <c r="Q16" s="1">
        <v>0.05</v>
      </c>
      <c r="R16" s="1">
        <v>0.05</v>
      </c>
      <c r="T16" s="1">
        <v>0.1</v>
      </c>
      <c r="U16" s="3">
        <v>0.05</v>
      </c>
      <c r="V16" s="3">
        <v>0.12</v>
      </c>
      <c r="W16" s="23" t="s">
        <v>313</v>
      </c>
      <c r="X16" s="23" t="s">
        <v>46</v>
      </c>
      <c r="AA16" s="1" t="s">
        <v>210</v>
      </c>
      <c r="AC16" s="1" t="s">
        <v>216</v>
      </c>
      <c r="AD16" s="1" t="s">
        <v>46</v>
      </c>
      <c r="AE16" s="3" t="s">
        <v>122</v>
      </c>
      <c r="AF16" s="74">
        <v>75</v>
      </c>
      <c r="AG16" s="74">
        <v>100</v>
      </c>
      <c r="AH16" s="74">
        <v>175</v>
      </c>
      <c r="AI16" t="s">
        <v>2675</v>
      </c>
      <c r="AJ16" s="74" t="str">
        <f t="shared" si="0"/>
        <v/>
      </c>
      <c r="AK16" s="1" t="s">
        <v>140</v>
      </c>
      <c r="AL16" s="1" t="s">
        <v>220</v>
      </c>
      <c r="AM16" s="12">
        <v>50</v>
      </c>
      <c r="AN16" s="12">
        <v>100</v>
      </c>
      <c r="AO16" s="57" t="s">
        <v>46</v>
      </c>
      <c r="AP16" s="57" t="s">
        <v>221</v>
      </c>
      <c r="AQ16" s="12">
        <v>25</v>
      </c>
      <c r="AR16" s="12">
        <v>50</v>
      </c>
      <c r="AS16" s="12">
        <v>75</v>
      </c>
      <c r="AT16" s="12">
        <v>125</v>
      </c>
      <c r="AU16" s="12">
        <v>150</v>
      </c>
      <c r="AV16" s="12">
        <v>50</v>
      </c>
      <c r="AW16" s="23" t="s">
        <v>138</v>
      </c>
      <c r="AX16" s="12">
        <v>0.05</v>
      </c>
      <c r="AY16" s="12" t="s">
        <v>47</v>
      </c>
      <c r="AZ16" s="12">
        <v>75</v>
      </c>
      <c r="BA16" s="12">
        <v>150</v>
      </c>
      <c r="BB16" s="84" t="s">
        <v>295</v>
      </c>
      <c r="BC16" s="74">
        <v>400</v>
      </c>
      <c r="BD16" s="3" t="s">
        <v>46</v>
      </c>
      <c r="BE16" s="3" t="s">
        <v>46</v>
      </c>
      <c r="BF16" s="74">
        <v>450</v>
      </c>
      <c r="BI16" s="1" t="s">
        <v>224</v>
      </c>
      <c r="BJ16" s="1"/>
      <c r="BK16" s="1"/>
      <c r="BL16" s="1" t="s">
        <v>226</v>
      </c>
      <c r="BM16" s="1" t="s">
        <v>230</v>
      </c>
      <c r="BN16" s="58" t="s">
        <v>279</v>
      </c>
      <c r="BO16" s="60" t="s">
        <v>233</v>
      </c>
      <c r="BP16" s="1" t="s">
        <v>113</v>
      </c>
      <c r="BQ16" s="14" t="s">
        <v>234</v>
      </c>
      <c r="BR16" s="61" t="s">
        <v>63</v>
      </c>
      <c r="BS16" s="61" t="s">
        <v>64</v>
      </c>
      <c r="BT16" s="61" t="s">
        <v>65</v>
      </c>
      <c r="BU16" s="61" t="s">
        <v>67</v>
      </c>
      <c r="BV16" s="61" t="s">
        <v>68</v>
      </c>
      <c r="BW16" s="61" t="s">
        <v>69</v>
      </c>
      <c r="BX16" s="61" t="s">
        <v>70</v>
      </c>
      <c r="BY16" s="14" t="s">
        <v>66</v>
      </c>
      <c r="BZ16" s="14"/>
      <c r="CA16" s="58">
        <v>2500</v>
      </c>
      <c r="CB16" s="58">
        <v>321</v>
      </c>
      <c r="CC16" s="58">
        <v>2500</v>
      </c>
      <c r="CD16" s="58" t="s">
        <v>46</v>
      </c>
      <c r="CE16" s="58">
        <v>1000</v>
      </c>
      <c r="CF16" s="58">
        <v>82</v>
      </c>
      <c r="CG16" s="58">
        <v>1000</v>
      </c>
      <c r="CH16" s="58">
        <v>114</v>
      </c>
    </row>
    <row r="17" spans="1:87" ht="270" x14ac:dyDescent="0.25">
      <c r="A17" s="31" t="s">
        <v>115</v>
      </c>
      <c r="B17" s="4" t="s">
        <v>3</v>
      </c>
      <c r="C17" s="4" t="s">
        <v>7</v>
      </c>
      <c r="K17" s="2" t="s">
        <v>108</v>
      </c>
      <c r="L17" s="26"/>
      <c r="AA17" s="1" t="s">
        <v>211</v>
      </c>
      <c r="AB17" s="3" t="s">
        <v>213</v>
      </c>
      <c r="AC17" s="1" t="s">
        <v>217</v>
      </c>
      <c r="AI17" t="s">
        <v>2676</v>
      </c>
      <c r="AJ17" s="3" t="str">
        <f t="shared" si="0"/>
        <v/>
      </c>
      <c r="AW17" s="13" t="s">
        <v>247</v>
      </c>
      <c r="AX17" s="4"/>
      <c r="AY17" s="4" t="s">
        <v>51</v>
      </c>
      <c r="AZ17" s="4">
        <v>100</v>
      </c>
      <c r="BA17" s="4">
        <v>200</v>
      </c>
      <c r="BB17" s="4" t="s">
        <v>23</v>
      </c>
      <c r="BI17" s="1"/>
      <c r="BJ17" s="1"/>
      <c r="BK17" s="1"/>
      <c r="BL17" s="1" t="s">
        <v>227</v>
      </c>
      <c r="BM17" s="1" t="s">
        <v>231</v>
      </c>
      <c r="BQ17" s="9" t="s">
        <v>119</v>
      </c>
      <c r="BR17" s="62" t="s">
        <v>78</v>
      </c>
      <c r="BS17" s="9" t="s">
        <v>77</v>
      </c>
      <c r="BT17" s="9" t="s">
        <v>71</v>
      </c>
      <c r="BU17" s="9" t="s">
        <v>72</v>
      </c>
      <c r="BV17" s="9" t="s">
        <v>73</v>
      </c>
      <c r="BW17" s="9" t="s">
        <v>74</v>
      </c>
      <c r="BX17" s="9" t="s">
        <v>76</v>
      </c>
      <c r="BY17" s="63" t="s">
        <v>75</v>
      </c>
      <c r="BZ17" s="63"/>
      <c r="CA17" s="64">
        <v>5000</v>
      </c>
      <c r="CB17" s="64">
        <v>264</v>
      </c>
      <c r="CC17" s="64">
        <v>5000</v>
      </c>
      <c r="CD17" s="64">
        <v>534</v>
      </c>
      <c r="CE17" s="64">
        <v>2500</v>
      </c>
      <c r="CF17" s="64">
        <v>81</v>
      </c>
      <c r="CG17" s="64">
        <v>2500</v>
      </c>
      <c r="CH17" s="64">
        <v>113</v>
      </c>
    </row>
    <row r="18" spans="1:87" ht="105" x14ac:dyDescent="0.25">
      <c r="A18" s="31" t="s">
        <v>115</v>
      </c>
      <c r="B18" s="4" t="s">
        <v>4</v>
      </c>
      <c r="C18" s="4" t="s">
        <v>7</v>
      </c>
      <c r="AA18" s="1" t="s">
        <v>212</v>
      </c>
      <c r="AB18" s="1" t="s">
        <v>214</v>
      </c>
      <c r="AC18" s="1" t="s">
        <v>218</v>
      </c>
      <c r="AI18" t="s">
        <v>201</v>
      </c>
      <c r="AJ18" s="3" t="str">
        <f t="shared" si="0"/>
        <v/>
      </c>
      <c r="AW18" s="2" t="s">
        <v>248</v>
      </c>
      <c r="AX18" s="4"/>
      <c r="AY18" s="4" t="s">
        <v>49</v>
      </c>
      <c r="AZ18" s="4">
        <v>125</v>
      </c>
      <c r="BA18" s="4">
        <v>200</v>
      </c>
      <c r="BB18" s="4" t="s">
        <v>23</v>
      </c>
      <c r="BL18" s="1" t="s">
        <v>228</v>
      </c>
      <c r="BM18" s="1" t="s">
        <v>232</v>
      </c>
      <c r="BQ18" s="9" t="s">
        <v>120</v>
      </c>
      <c r="CA18" s="64">
        <v>10000</v>
      </c>
      <c r="CB18" s="64">
        <v>235</v>
      </c>
      <c r="CC18" s="64">
        <v>10000</v>
      </c>
      <c r="CD18" s="64">
        <v>304</v>
      </c>
      <c r="CE18" s="64">
        <v>5000</v>
      </c>
      <c r="CF18" s="64">
        <v>78</v>
      </c>
      <c r="CG18" s="64">
        <v>5000</v>
      </c>
      <c r="CH18" s="64">
        <v>111</v>
      </c>
    </row>
    <row r="19" spans="1:87" ht="105" x14ac:dyDescent="0.25">
      <c r="A19" s="31" t="s">
        <v>115</v>
      </c>
      <c r="C19" s="4" t="s">
        <v>7</v>
      </c>
      <c r="AC19" s="1" t="s">
        <v>23</v>
      </c>
      <c r="AI19" t="s">
        <v>2677</v>
      </c>
      <c r="AJ19" s="3" t="str">
        <f t="shared" si="0"/>
        <v/>
      </c>
      <c r="AW19" s="2" t="s">
        <v>249</v>
      </c>
      <c r="AX19" s="4"/>
      <c r="AY19" s="4" t="s">
        <v>48</v>
      </c>
      <c r="AZ19" s="4">
        <v>150</v>
      </c>
      <c r="BA19" s="4">
        <v>250</v>
      </c>
      <c r="BB19" s="4"/>
      <c r="CE19" s="64"/>
      <c r="CF19" s="64"/>
      <c r="CG19" s="64">
        <v>10000</v>
      </c>
      <c r="CH19" s="64">
        <v>108</v>
      </c>
    </row>
    <row r="20" spans="1:87" ht="30" x14ac:dyDescent="0.25">
      <c r="A20" s="31" t="s">
        <v>115</v>
      </c>
      <c r="B20" s="4" t="s">
        <v>23</v>
      </c>
      <c r="C20" s="4" t="s">
        <v>8</v>
      </c>
      <c r="AI20" s="1" t="s">
        <v>1230</v>
      </c>
      <c r="AJ20" s="3" t="str">
        <f t="shared" si="0"/>
        <v/>
      </c>
    </row>
    <row r="21" spans="1:87" x14ac:dyDescent="0.25">
      <c r="A21" s="31" t="s">
        <v>115</v>
      </c>
      <c r="B21" s="4" t="s">
        <v>23</v>
      </c>
      <c r="C21" s="4" t="s">
        <v>8</v>
      </c>
      <c r="AI21" t="s">
        <v>2678</v>
      </c>
      <c r="AJ21" s="3" t="str">
        <f t="shared" si="0"/>
        <v/>
      </c>
    </row>
    <row r="22" spans="1:87" x14ac:dyDescent="0.25">
      <c r="A22" s="31" t="s">
        <v>115</v>
      </c>
      <c r="B22" s="4" t="s">
        <v>23</v>
      </c>
      <c r="C22" s="4" t="s">
        <v>8</v>
      </c>
      <c r="AI22" t="s">
        <v>2679</v>
      </c>
      <c r="AJ22" s="3" t="str">
        <f t="shared" si="0"/>
        <v/>
      </c>
    </row>
    <row r="23" spans="1:87" ht="30" x14ac:dyDescent="0.25">
      <c r="A23" s="31" t="s">
        <v>115</v>
      </c>
      <c r="AI23" t="s">
        <v>2680</v>
      </c>
      <c r="AJ23" s="3" t="str">
        <f t="shared" si="0"/>
        <v/>
      </c>
      <c r="CI23" s="2" t="s">
        <v>235</v>
      </c>
    </row>
    <row r="24" spans="1:87" ht="45" x14ac:dyDescent="0.25">
      <c r="A24" s="31" t="s">
        <v>115</v>
      </c>
      <c r="AI24" t="s">
        <v>2681</v>
      </c>
      <c r="AJ24" s="3" t="str">
        <f t="shared" si="0"/>
        <v/>
      </c>
      <c r="CI24" s="2" t="s">
        <v>116</v>
      </c>
    </row>
    <row r="25" spans="1:87" ht="150" x14ac:dyDescent="0.25">
      <c r="A25" s="65" t="s">
        <v>236</v>
      </c>
      <c r="B25" s="12" t="s">
        <v>2</v>
      </c>
      <c r="C25" s="3" t="s">
        <v>6</v>
      </c>
      <c r="D25" s="1" t="s">
        <v>266</v>
      </c>
      <c r="E25" s="77" t="s">
        <v>265</v>
      </c>
      <c r="F25" s="3">
        <v>0.12</v>
      </c>
      <c r="G25" s="3">
        <v>0.19</v>
      </c>
      <c r="H25" s="3" t="s">
        <v>46</v>
      </c>
      <c r="I25" s="3" t="s">
        <v>46</v>
      </c>
      <c r="J25" s="3" t="s">
        <v>46</v>
      </c>
      <c r="K25" s="13" t="s">
        <v>100</v>
      </c>
      <c r="L25" s="13" t="s">
        <v>131</v>
      </c>
      <c r="M25" s="12" t="s">
        <v>135</v>
      </c>
      <c r="N25" s="13" t="s">
        <v>269</v>
      </c>
      <c r="O25" s="13" t="s">
        <v>111</v>
      </c>
      <c r="P25" s="2">
        <v>0.05</v>
      </c>
      <c r="Q25" s="2">
        <v>0.05</v>
      </c>
      <c r="R25" s="2">
        <v>0.05</v>
      </c>
      <c r="S25" s="2"/>
      <c r="T25" s="2">
        <v>0.1</v>
      </c>
      <c r="U25" s="4">
        <v>0.05</v>
      </c>
      <c r="V25" s="4">
        <v>0.12</v>
      </c>
      <c r="W25" s="3" t="s">
        <v>46</v>
      </c>
      <c r="X25" s="3" t="s">
        <v>46</v>
      </c>
      <c r="Y25" s="3" t="s">
        <v>46</v>
      </c>
      <c r="Z25" s="3" t="s">
        <v>46</v>
      </c>
      <c r="AA25" s="1" t="s">
        <v>270</v>
      </c>
      <c r="AB25" s="4" t="s">
        <v>213</v>
      </c>
      <c r="AC25" s="1" t="s">
        <v>216</v>
      </c>
      <c r="AD25" s="1" t="s">
        <v>273</v>
      </c>
      <c r="AE25" s="12" t="s">
        <v>122</v>
      </c>
      <c r="AF25" s="12">
        <v>50</v>
      </c>
      <c r="AG25" s="12">
        <v>75</v>
      </c>
      <c r="AH25" s="12">
        <v>150</v>
      </c>
      <c r="AI25" t="s">
        <v>2682</v>
      </c>
      <c r="AJ25" s="57" t="str">
        <f t="shared" si="0"/>
        <v/>
      </c>
      <c r="AM25" s="12">
        <v>50</v>
      </c>
      <c r="AN25" s="12">
        <v>100</v>
      </c>
      <c r="AO25" s="57" t="s">
        <v>46</v>
      </c>
      <c r="AP25" s="57" t="s">
        <v>221</v>
      </c>
      <c r="AQ25" s="12">
        <v>25</v>
      </c>
      <c r="AR25" s="12">
        <v>50</v>
      </c>
      <c r="AS25" s="12">
        <v>75</v>
      </c>
      <c r="AT25" s="12">
        <v>125</v>
      </c>
      <c r="AU25" s="12">
        <v>150</v>
      </c>
      <c r="AV25" s="12">
        <v>50</v>
      </c>
      <c r="AW25" s="74">
        <v>550</v>
      </c>
      <c r="AX25" s="12">
        <v>0.05</v>
      </c>
      <c r="AY25" s="12" t="s">
        <v>47</v>
      </c>
      <c r="AZ25" s="12">
        <v>75</v>
      </c>
      <c r="BA25" s="12">
        <v>150</v>
      </c>
      <c r="BB25" s="86" t="str">
        <f>$BB$16</f>
        <v>Flood Instructions</v>
      </c>
      <c r="BC25" s="74">
        <v>375</v>
      </c>
      <c r="BD25" s="3" t="s">
        <v>46</v>
      </c>
      <c r="BE25" s="3" t="s">
        <v>46</v>
      </c>
      <c r="BF25" s="74">
        <v>425</v>
      </c>
      <c r="BI25" s="1" t="s">
        <v>224</v>
      </c>
      <c r="BJ25" s="1"/>
      <c r="BK25" s="1"/>
      <c r="BL25" s="1" t="s">
        <v>277</v>
      </c>
      <c r="BM25" s="3" t="s">
        <v>46</v>
      </c>
      <c r="BN25" s="1" t="s">
        <v>279</v>
      </c>
      <c r="BO25" s="1" t="s">
        <v>233</v>
      </c>
      <c r="BP25" s="14" t="s">
        <v>113</v>
      </c>
      <c r="BQ25" s="14" t="s">
        <v>280</v>
      </c>
      <c r="BR25" s="61" t="s">
        <v>63</v>
      </c>
      <c r="BS25" s="61" t="s">
        <v>64</v>
      </c>
      <c r="BT25" s="61" t="s">
        <v>65</v>
      </c>
      <c r="BU25" s="61" t="s">
        <v>67</v>
      </c>
      <c r="BV25" s="61" t="s">
        <v>68</v>
      </c>
      <c r="BW25" s="61" t="s">
        <v>69</v>
      </c>
      <c r="BX25" s="61" t="s">
        <v>70</v>
      </c>
      <c r="BY25" s="14" t="s">
        <v>66</v>
      </c>
      <c r="BZ25" s="14"/>
      <c r="CA25" s="58">
        <v>2500</v>
      </c>
      <c r="CB25" s="58">
        <v>321</v>
      </c>
      <c r="CC25" s="58">
        <v>2500</v>
      </c>
      <c r="CD25" s="58" t="s">
        <v>46</v>
      </c>
      <c r="CE25" s="58">
        <v>1000</v>
      </c>
      <c r="CF25" s="58">
        <v>82</v>
      </c>
      <c r="CG25" s="58">
        <v>1000</v>
      </c>
      <c r="CH25" s="58">
        <v>114</v>
      </c>
    </row>
    <row r="26" spans="1:87" ht="270" x14ac:dyDescent="0.25">
      <c r="A26" s="65" t="s">
        <v>236</v>
      </c>
      <c r="B26" s="4" t="s">
        <v>3</v>
      </c>
      <c r="C26" s="3" t="s">
        <v>6</v>
      </c>
      <c r="F26" s="3">
        <v>0.14000000000000001</v>
      </c>
      <c r="G26" s="3">
        <v>0.22</v>
      </c>
      <c r="H26" s="3" t="s">
        <v>46</v>
      </c>
      <c r="I26" s="3" t="s">
        <v>46</v>
      </c>
      <c r="J26" s="3" t="s">
        <v>46</v>
      </c>
      <c r="K26" s="2" t="s">
        <v>108</v>
      </c>
      <c r="L26" s="2" t="s">
        <v>132</v>
      </c>
      <c r="M26" s="2" t="s">
        <v>136</v>
      </c>
      <c r="N26" s="2"/>
      <c r="O26" s="4"/>
      <c r="AA26" s="1" t="s">
        <v>271</v>
      </c>
      <c r="AB26" s="2" t="s">
        <v>214</v>
      </c>
      <c r="AC26" s="1" t="s">
        <v>217</v>
      </c>
      <c r="AD26" s="1" t="s">
        <v>274</v>
      </c>
      <c r="AI26" t="s">
        <v>2683</v>
      </c>
      <c r="AJ26" s="3" t="str">
        <f t="shared" si="0"/>
        <v/>
      </c>
      <c r="AW26" s="13" t="s">
        <v>276</v>
      </c>
      <c r="AX26" s="4"/>
      <c r="AY26" s="4" t="s">
        <v>51</v>
      </c>
      <c r="AZ26" s="4">
        <v>100</v>
      </c>
      <c r="BA26" s="4">
        <v>200</v>
      </c>
      <c r="BB26" s="4" t="s">
        <v>23</v>
      </c>
      <c r="BL26" s="1" t="s">
        <v>278</v>
      </c>
      <c r="BP26" s="59"/>
      <c r="BQ26" s="9" t="s">
        <v>119</v>
      </c>
      <c r="BR26" s="62" t="s">
        <v>78</v>
      </c>
      <c r="BS26" s="9" t="s">
        <v>77</v>
      </c>
      <c r="BT26" s="9" t="s">
        <v>71</v>
      </c>
      <c r="BU26" s="9" t="s">
        <v>72</v>
      </c>
      <c r="BV26" s="9" t="s">
        <v>73</v>
      </c>
      <c r="BW26" s="9" t="s">
        <v>74</v>
      </c>
      <c r="BX26" s="9" t="s">
        <v>76</v>
      </c>
      <c r="BY26" s="63" t="s">
        <v>75</v>
      </c>
      <c r="BZ26" s="63"/>
      <c r="CA26" s="64">
        <v>5000</v>
      </c>
      <c r="CB26" s="64">
        <v>264</v>
      </c>
      <c r="CC26" s="64">
        <v>5000</v>
      </c>
      <c r="CD26" s="64">
        <v>534</v>
      </c>
      <c r="CE26" s="64">
        <v>2500</v>
      </c>
      <c r="CF26" s="64">
        <v>81</v>
      </c>
      <c r="CG26" s="64">
        <v>2500</v>
      </c>
      <c r="CH26" s="64">
        <v>113</v>
      </c>
    </row>
    <row r="27" spans="1:87" ht="120" x14ac:dyDescent="0.25">
      <c r="A27" s="65" t="s">
        <v>236</v>
      </c>
      <c r="B27" s="4" t="s">
        <v>4</v>
      </c>
      <c r="C27" s="3" t="s">
        <v>6</v>
      </c>
      <c r="F27" s="3">
        <v>0.19</v>
      </c>
      <c r="G27" s="3">
        <v>0.24</v>
      </c>
      <c r="H27" s="3" t="s">
        <v>46</v>
      </c>
      <c r="I27" s="3" t="s">
        <v>46</v>
      </c>
      <c r="J27" s="3" t="s">
        <v>46</v>
      </c>
      <c r="K27" s="4"/>
      <c r="L27" s="2" t="s">
        <v>133</v>
      </c>
      <c r="M27" s="4"/>
      <c r="N27" s="2"/>
      <c r="O27" s="4"/>
      <c r="AC27" s="1" t="s">
        <v>218</v>
      </c>
      <c r="AD27" s="78" t="s">
        <v>275</v>
      </c>
      <c r="AG27" s="3" t="str">
        <f>IF($AG$9="Quote",Calculator!C36-AG28,"")</f>
        <v/>
      </c>
      <c r="AI27" t="s">
        <v>2684</v>
      </c>
      <c r="AJ27" s="3" t="str">
        <f t="shared" si="0"/>
        <v/>
      </c>
      <c r="AW27" s="2" t="s">
        <v>248</v>
      </c>
      <c r="AX27" s="4"/>
      <c r="AY27" s="4" t="s">
        <v>49</v>
      </c>
      <c r="AZ27" s="4">
        <v>125</v>
      </c>
      <c r="BA27" s="4">
        <v>200</v>
      </c>
      <c r="BB27" s="4" t="s">
        <v>23</v>
      </c>
      <c r="BP27" s="59"/>
      <c r="BQ27" s="9" t="s">
        <v>120</v>
      </c>
      <c r="BR27" s="59"/>
      <c r="BS27" s="59"/>
      <c r="BT27" s="59"/>
      <c r="BU27" s="59"/>
      <c r="BV27" s="59"/>
      <c r="BW27" s="59"/>
      <c r="BX27" s="59"/>
      <c r="BY27" s="59"/>
      <c r="BZ27" s="59"/>
      <c r="CA27" s="64">
        <v>10000</v>
      </c>
      <c r="CB27" s="64">
        <v>235</v>
      </c>
      <c r="CC27" s="64">
        <v>10000</v>
      </c>
      <c r="CD27" s="64">
        <v>304</v>
      </c>
      <c r="CE27" s="64">
        <v>5000</v>
      </c>
      <c r="CF27" s="64">
        <v>78</v>
      </c>
      <c r="CG27" s="64">
        <v>5000</v>
      </c>
      <c r="CH27" s="64">
        <v>111</v>
      </c>
    </row>
    <row r="28" spans="1:87" ht="105" x14ac:dyDescent="0.25">
      <c r="A28" s="65" t="s">
        <v>236</v>
      </c>
      <c r="B28" s="12" t="s">
        <v>2</v>
      </c>
      <c r="C28" s="3" t="s">
        <v>7</v>
      </c>
      <c r="F28" s="3">
        <v>0.15</v>
      </c>
      <c r="G28" s="3">
        <v>0.21</v>
      </c>
      <c r="H28" s="3" t="s">
        <v>46</v>
      </c>
      <c r="I28" s="3" t="s">
        <v>46</v>
      </c>
      <c r="J28" s="3" t="s">
        <v>46</v>
      </c>
      <c r="K28" s="4"/>
      <c r="L28" s="2" t="s">
        <v>134</v>
      </c>
      <c r="M28" s="4"/>
      <c r="N28" s="2"/>
      <c r="O28" s="4"/>
      <c r="AE28" s="456" t="s">
        <v>3462</v>
      </c>
      <c r="AF28" s="456" t="s">
        <v>3456</v>
      </c>
      <c r="AG28" s="456" t="str">
        <f>IF($AG$9="Quote",IF(C89=0,0,C89),"")</f>
        <v/>
      </c>
      <c r="AI28" t="s">
        <v>2685</v>
      </c>
      <c r="AJ28" s="3" t="str">
        <f t="shared" si="0"/>
        <v/>
      </c>
      <c r="AW28" s="2" t="s">
        <v>249</v>
      </c>
      <c r="AX28" s="4"/>
      <c r="AY28" s="4" t="s">
        <v>48</v>
      </c>
      <c r="AZ28" s="4">
        <v>150</v>
      </c>
      <c r="BA28" s="4">
        <v>250</v>
      </c>
      <c r="BB28" s="4"/>
      <c r="BP28" s="59"/>
      <c r="BQ28" s="59"/>
      <c r="BR28" s="59"/>
      <c r="BS28" s="59"/>
      <c r="BT28" s="59"/>
      <c r="BU28" s="59"/>
      <c r="BV28" s="59"/>
      <c r="BW28" s="59"/>
      <c r="BX28" s="59"/>
      <c r="BY28" s="59"/>
      <c r="BZ28" s="59"/>
      <c r="CA28" s="4"/>
      <c r="CB28" s="64" t="s">
        <v>23</v>
      </c>
      <c r="CC28" s="64" t="s">
        <v>23</v>
      </c>
      <c r="CD28" s="64"/>
      <c r="CE28" s="64"/>
      <c r="CF28" s="64"/>
      <c r="CG28" s="64">
        <v>10000</v>
      </c>
      <c r="CH28" s="64">
        <v>108</v>
      </c>
    </row>
    <row r="29" spans="1:87" x14ac:dyDescent="0.25">
      <c r="A29" s="65" t="s">
        <v>236</v>
      </c>
      <c r="B29" s="4" t="s">
        <v>3</v>
      </c>
      <c r="C29" s="3" t="s">
        <v>7</v>
      </c>
      <c r="F29" s="3">
        <v>0.19</v>
      </c>
      <c r="G29" s="3">
        <v>0.25</v>
      </c>
      <c r="H29" s="3" t="s">
        <v>46</v>
      </c>
      <c r="I29" s="3" t="s">
        <v>46</v>
      </c>
      <c r="J29" s="3" t="s">
        <v>46</v>
      </c>
      <c r="AI29" t="s">
        <v>2686</v>
      </c>
      <c r="AJ29" s="3" t="str">
        <f t="shared" si="0"/>
        <v/>
      </c>
    </row>
    <row r="30" spans="1:87" x14ac:dyDescent="0.25">
      <c r="A30" s="65" t="s">
        <v>236</v>
      </c>
      <c r="B30" s="4" t="s">
        <v>4</v>
      </c>
      <c r="C30" s="3" t="s">
        <v>7</v>
      </c>
      <c r="F30" s="3">
        <v>0.24</v>
      </c>
      <c r="G30" s="3">
        <v>0.31</v>
      </c>
      <c r="H30" s="3" t="s">
        <v>46</v>
      </c>
      <c r="I30" s="3" t="s">
        <v>46</v>
      </c>
      <c r="J30" s="3" t="s">
        <v>46</v>
      </c>
      <c r="AI30" t="s">
        <v>2687</v>
      </c>
      <c r="AJ30" s="3" t="str">
        <f t="shared" si="0"/>
        <v/>
      </c>
    </row>
    <row r="31" spans="1:87" x14ac:dyDescent="0.25">
      <c r="A31" s="65" t="s">
        <v>236</v>
      </c>
      <c r="B31" s="12" t="s">
        <v>2</v>
      </c>
      <c r="C31" s="3" t="s">
        <v>8</v>
      </c>
      <c r="F31" s="3">
        <v>0.21</v>
      </c>
      <c r="G31" s="3">
        <v>0.26</v>
      </c>
      <c r="H31" s="3" t="s">
        <v>46</v>
      </c>
      <c r="I31" s="3" t="s">
        <v>46</v>
      </c>
      <c r="J31" s="3" t="s">
        <v>46</v>
      </c>
      <c r="AI31" t="s">
        <v>2789</v>
      </c>
      <c r="AJ31" s="3" t="str">
        <f t="shared" si="0"/>
        <v/>
      </c>
    </row>
    <row r="32" spans="1:87" x14ac:dyDescent="0.25">
      <c r="A32" s="65" t="s">
        <v>236</v>
      </c>
      <c r="B32" s="4" t="s">
        <v>3</v>
      </c>
      <c r="C32" s="3" t="s">
        <v>8</v>
      </c>
      <c r="F32" s="3">
        <v>0.25</v>
      </c>
      <c r="G32" s="3">
        <v>0.33</v>
      </c>
      <c r="H32" s="3" t="s">
        <v>46</v>
      </c>
      <c r="I32" s="3" t="s">
        <v>46</v>
      </c>
      <c r="J32" s="3" t="s">
        <v>46</v>
      </c>
      <c r="AI32" t="s">
        <v>2688</v>
      </c>
      <c r="AJ32" s="3" t="str">
        <f t="shared" si="0"/>
        <v/>
      </c>
    </row>
    <row r="33" spans="1:87" x14ac:dyDescent="0.25">
      <c r="A33" s="65" t="s">
        <v>236</v>
      </c>
      <c r="B33" s="4" t="s">
        <v>4</v>
      </c>
      <c r="C33" s="3" t="s">
        <v>8</v>
      </c>
      <c r="F33" s="3">
        <v>0.31</v>
      </c>
      <c r="G33" s="3">
        <v>0.36</v>
      </c>
      <c r="H33" s="3" t="s">
        <v>46</v>
      </c>
      <c r="I33" s="3" t="s">
        <v>46</v>
      </c>
      <c r="J33" s="3" t="s">
        <v>46</v>
      </c>
      <c r="AI33" t="s">
        <v>2689</v>
      </c>
      <c r="AJ33" s="3" t="str">
        <f t="shared" si="0"/>
        <v/>
      </c>
    </row>
    <row r="34" spans="1:87" x14ac:dyDescent="0.25">
      <c r="A34" s="65" t="s">
        <v>236</v>
      </c>
      <c r="AI34" t="s">
        <v>2690</v>
      </c>
      <c r="AJ34" s="3" t="str">
        <f t="shared" si="0"/>
        <v/>
      </c>
    </row>
    <row r="35" spans="1:87" ht="30" x14ac:dyDescent="0.25">
      <c r="A35" s="65" t="s">
        <v>236</v>
      </c>
      <c r="AI35" t="s">
        <v>2691</v>
      </c>
      <c r="AJ35" s="3" t="str">
        <f t="shared" si="0"/>
        <v/>
      </c>
      <c r="CI35" s="2" t="s">
        <v>24</v>
      </c>
    </row>
    <row r="36" spans="1:87" ht="45" x14ac:dyDescent="0.25">
      <c r="A36" s="65" t="s">
        <v>236</v>
      </c>
      <c r="AI36" t="s">
        <v>2692</v>
      </c>
      <c r="AJ36" s="3" t="str">
        <f t="shared" si="0"/>
        <v/>
      </c>
      <c r="CI36" s="2" t="s">
        <v>116</v>
      </c>
    </row>
    <row r="37" spans="1:87" ht="135" x14ac:dyDescent="0.25">
      <c r="A37" s="66" t="s">
        <v>297</v>
      </c>
      <c r="B37" s="3" t="s">
        <v>2</v>
      </c>
      <c r="C37" s="3" t="s">
        <v>6</v>
      </c>
      <c r="D37" s="88" t="s">
        <v>298</v>
      </c>
      <c r="E37" s="89" t="s">
        <v>301</v>
      </c>
      <c r="F37" s="3">
        <v>0.3</v>
      </c>
      <c r="G37" s="3">
        <v>0.3</v>
      </c>
      <c r="H37" s="3" t="s">
        <v>46</v>
      </c>
      <c r="I37" s="3" t="s">
        <v>46</v>
      </c>
      <c r="J37" s="3" t="s">
        <v>46</v>
      </c>
      <c r="K37" s="13" t="s">
        <v>310</v>
      </c>
      <c r="L37" s="13" t="s">
        <v>131</v>
      </c>
      <c r="M37" s="12" t="s">
        <v>135</v>
      </c>
      <c r="N37" s="13" t="s">
        <v>342</v>
      </c>
      <c r="O37" s="13" t="s">
        <v>111</v>
      </c>
      <c r="P37" s="2">
        <v>0.05</v>
      </c>
      <c r="Q37" s="2">
        <v>0.05</v>
      </c>
      <c r="R37" s="2" t="s">
        <v>23</v>
      </c>
      <c r="S37" s="2">
        <v>0.1</v>
      </c>
      <c r="T37" s="2">
        <v>0.1</v>
      </c>
      <c r="U37" s="4">
        <v>0.05</v>
      </c>
      <c r="V37" s="4">
        <v>0.12</v>
      </c>
      <c r="W37" s="66"/>
      <c r="X37" s="3" t="s">
        <v>319</v>
      </c>
      <c r="Y37" s="3">
        <f>F37*0.75</f>
        <v>0.22499999999999998</v>
      </c>
      <c r="Z37" s="3">
        <f>F37</f>
        <v>0.3</v>
      </c>
      <c r="AA37" s="1">
        <f>F37</f>
        <v>0.3</v>
      </c>
      <c r="AB37" s="3" t="s">
        <v>46</v>
      </c>
      <c r="AC37" s="1" t="s">
        <v>46</v>
      </c>
      <c r="AD37" s="1" t="s">
        <v>46</v>
      </c>
      <c r="AI37" t="s">
        <v>2693</v>
      </c>
      <c r="AJ37" s="74" t="str">
        <f t="shared" si="0"/>
        <v/>
      </c>
      <c r="AL37" s="3" t="s">
        <v>46</v>
      </c>
      <c r="AM37" s="74">
        <v>50</v>
      </c>
      <c r="AN37" s="74">
        <v>75</v>
      </c>
      <c r="AO37" s="74">
        <v>100</v>
      </c>
      <c r="AP37" s="3" t="s">
        <v>46</v>
      </c>
      <c r="AQ37" s="12">
        <v>25</v>
      </c>
      <c r="AR37" s="12">
        <v>50</v>
      </c>
      <c r="AS37" s="12">
        <v>75</v>
      </c>
      <c r="AT37" s="12">
        <v>125</v>
      </c>
      <c r="AU37" s="12">
        <v>150</v>
      </c>
      <c r="AV37" s="74">
        <v>50</v>
      </c>
      <c r="AW37" s="74">
        <v>500</v>
      </c>
      <c r="AX37" s="3">
        <v>0.05</v>
      </c>
      <c r="AY37" s="3" t="s">
        <v>47</v>
      </c>
      <c r="AZ37" s="3">
        <v>75</v>
      </c>
      <c r="BA37" s="3">
        <v>150</v>
      </c>
      <c r="BB37" s="90" t="s">
        <v>295</v>
      </c>
      <c r="BC37" s="74">
        <v>225</v>
      </c>
      <c r="BD37" s="3" t="s">
        <v>46</v>
      </c>
      <c r="BE37" s="3" t="s">
        <v>46</v>
      </c>
      <c r="BF37" s="74">
        <v>275</v>
      </c>
      <c r="BG37" s="3" t="s">
        <v>46</v>
      </c>
      <c r="BH37" s="3" t="s">
        <v>46</v>
      </c>
      <c r="BI37" s="3" t="s">
        <v>46</v>
      </c>
      <c r="BJ37" s="3" t="s">
        <v>335</v>
      </c>
      <c r="BK37" s="91" t="s">
        <v>336</v>
      </c>
      <c r="BL37" s="1" t="s">
        <v>337</v>
      </c>
      <c r="BM37" s="3" t="s">
        <v>46</v>
      </c>
      <c r="BN37" s="1" t="s">
        <v>334</v>
      </c>
      <c r="BO37" s="74">
        <v>100</v>
      </c>
      <c r="BP37" s="14" t="s">
        <v>113</v>
      </c>
      <c r="BQ37" s="14" t="s">
        <v>118</v>
      </c>
      <c r="BR37" s="61" t="s">
        <v>63</v>
      </c>
      <c r="BS37" s="61" t="s">
        <v>64</v>
      </c>
      <c r="BT37" s="61" t="s">
        <v>65</v>
      </c>
      <c r="BU37" s="61" t="s">
        <v>67</v>
      </c>
      <c r="BV37" s="61" t="s">
        <v>68</v>
      </c>
      <c r="BW37" s="61" t="s">
        <v>69</v>
      </c>
      <c r="BX37" s="61" t="s">
        <v>70</v>
      </c>
      <c r="BY37" s="14" t="s">
        <v>66</v>
      </c>
      <c r="BZ37" s="14" t="s">
        <v>341</v>
      </c>
      <c r="CA37" s="58">
        <v>2500</v>
      </c>
      <c r="CB37" s="58">
        <v>321</v>
      </c>
      <c r="CC37" s="58">
        <v>2500</v>
      </c>
      <c r="CD37" s="58" t="s">
        <v>46</v>
      </c>
      <c r="CE37" s="58">
        <v>1000</v>
      </c>
      <c r="CF37" s="58">
        <v>82</v>
      </c>
      <c r="CG37" s="58">
        <v>1000</v>
      </c>
      <c r="CH37" s="58">
        <v>114</v>
      </c>
    </row>
    <row r="38" spans="1:87" ht="270" x14ac:dyDescent="0.25">
      <c r="A38" s="66" t="s">
        <v>297</v>
      </c>
      <c r="B38" s="3" t="s">
        <v>3</v>
      </c>
      <c r="C38" s="3" t="s">
        <v>6</v>
      </c>
      <c r="F38" s="3">
        <v>0.35</v>
      </c>
      <c r="G38" s="3">
        <v>0.35</v>
      </c>
      <c r="K38" s="2" t="s">
        <v>311</v>
      </c>
      <c r="L38" s="2" t="s">
        <v>132</v>
      </c>
      <c r="M38" s="2" t="s">
        <v>136</v>
      </c>
      <c r="N38" s="1" t="s">
        <v>343</v>
      </c>
      <c r="X38" s="3" t="s">
        <v>320</v>
      </c>
      <c r="Y38" s="3">
        <f t="shared" ref="Y38:Y45" si="1">F38*0.75</f>
        <v>0.26249999999999996</v>
      </c>
      <c r="Z38" s="3">
        <f t="shared" ref="Z38:Z45" si="2">F38</f>
        <v>0.35</v>
      </c>
      <c r="AA38" s="1">
        <f t="shared" ref="AA38:AA45" si="3">F38</f>
        <v>0.35</v>
      </c>
      <c r="AE38" s="3" t="s">
        <v>326</v>
      </c>
      <c r="AF38" s="74">
        <v>50</v>
      </c>
      <c r="AG38" s="74">
        <v>75</v>
      </c>
      <c r="AI38" t="s">
        <v>3457</v>
      </c>
      <c r="AJ38" s="3" t="str">
        <f t="shared" si="0"/>
        <v/>
      </c>
      <c r="AW38" s="13" t="s">
        <v>329</v>
      </c>
      <c r="AY38" s="3" t="s">
        <v>51</v>
      </c>
      <c r="AZ38" s="3">
        <v>100</v>
      </c>
      <c r="BA38" s="3">
        <v>200</v>
      </c>
      <c r="BC38" s="3" t="s">
        <v>23</v>
      </c>
      <c r="BN38" s="1" t="s">
        <v>339</v>
      </c>
      <c r="BP38" s="59"/>
      <c r="BQ38" s="9" t="s">
        <v>338</v>
      </c>
      <c r="BR38" s="62" t="s">
        <v>78</v>
      </c>
      <c r="BS38" s="9" t="s">
        <v>77</v>
      </c>
      <c r="BT38" s="9" t="s">
        <v>71</v>
      </c>
      <c r="BU38" s="9" t="s">
        <v>72</v>
      </c>
      <c r="BV38" s="9" t="s">
        <v>73</v>
      </c>
      <c r="BW38" s="9" t="s">
        <v>74</v>
      </c>
      <c r="BX38" s="9" t="s">
        <v>76</v>
      </c>
      <c r="BY38" s="63" t="s">
        <v>75</v>
      </c>
      <c r="BZ38" s="63"/>
      <c r="CA38" s="64">
        <v>5000</v>
      </c>
      <c r="CB38" s="64">
        <v>264</v>
      </c>
      <c r="CC38" s="64">
        <v>5000</v>
      </c>
      <c r="CD38" s="64">
        <v>534</v>
      </c>
      <c r="CE38" s="64">
        <v>2500</v>
      </c>
      <c r="CF38" s="64">
        <v>81</v>
      </c>
      <c r="CG38" s="64">
        <v>2500</v>
      </c>
      <c r="CH38" s="64">
        <v>113</v>
      </c>
    </row>
    <row r="39" spans="1:87" ht="105" x14ac:dyDescent="0.25">
      <c r="A39" s="66" t="s">
        <v>297</v>
      </c>
      <c r="B39" s="3" t="s">
        <v>4</v>
      </c>
      <c r="C39" s="3" t="s">
        <v>6</v>
      </c>
      <c r="F39" s="3">
        <v>0.45</v>
      </c>
      <c r="G39" s="3">
        <v>0.45</v>
      </c>
      <c r="N39" s="1" t="s">
        <v>344</v>
      </c>
      <c r="X39" s="3" t="s">
        <v>321</v>
      </c>
      <c r="Y39" s="3">
        <f t="shared" si="1"/>
        <v>0.33750000000000002</v>
      </c>
      <c r="Z39" s="3">
        <f t="shared" si="2"/>
        <v>0.45</v>
      </c>
      <c r="AA39" s="1">
        <f t="shared" si="3"/>
        <v>0.45</v>
      </c>
      <c r="AI39" t="s">
        <v>2694</v>
      </c>
      <c r="AJ39" s="3" t="str">
        <f t="shared" si="0"/>
        <v/>
      </c>
      <c r="AW39" s="2" t="s">
        <v>330</v>
      </c>
      <c r="AY39" s="3" t="s">
        <v>49</v>
      </c>
      <c r="AZ39" s="3">
        <v>125</v>
      </c>
      <c r="BA39" s="3">
        <v>200</v>
      </c>
      <c r="BP39" s="59"/>
      <c r="BQ39" s="9" t="s">
        <v>120</v>
      </c>
      <c r="BR39" s="59"/>
      <c r="BS39" s="59"/>
      <c r="BT39" s="59"/>
      <c r="BU39" s="59"/>
      <c r="BV39" s="59"/>
      <c r="BW39" s="59"/>
      <c r="BX39" s="59"/>
      <c r="BY39" s="59"/>
      <c r="BZ39" s="59"/>
      <c r="CA39" s="64">
        <v>10000</v>
      </c>
      <c r="CB39" s="64">
        <v>235</v>
      </c>
      <c r="CC39" s="64">
        <v>10000</v>
      </c>
      <c r="CD39" s="64">
        <v>304</v>
      </c>
      <c r="CE39" s="64">
        <v>5000</v>
      </c>
      <c r="CF39" s="64">
        <v>78</v>
      </c>
      <c r="CG39" s="64">
        <v>5000</v>
      </c>
      <c r="CH39" s="64">
        <v>111</v>
      </c>
    </row>
    <row r="40" spans="1:87" ht="105" x14ac:dyDescent="0.25">
      <c r="A40" s="66" t="s">
        <v>297</v>
      </c>
      <c r="B40" s="3" t="s">
        <v>2</v>
      </c>
      <c r="C40" s="3" t="s">
        <v>7</v>
      </c>
      <c r="F40" s="3">
        <v>0.35</v>
      </c>
      <c r="G40" s="3">
        <v>0.35</v>
      </c>
      <c r="X40" s="3" t="s">
        <v>322</v>
      </c>
      <c r="Y40" s="3">
        <f t="shared" si="1"/>
        <v>0.26249999999999996</v>
      </c>
      <c r="Z40" s="3">
        <f t="shared" si="2"/>
        <v>0.35</v>
      </c>
      <c r="AA40" s="1">
        <f t="shared" si="3"/>
        <v>0.35</v>
      </c>
      <c r="AI40" t="s">
        <v>2695</v>
      </c>
      <c r="AJ40" s="3" t="str">
        <f t="shared" si="0"/>
        <v/>
      </c>
      <c r="AW40" s="2" t="s">
        <v>331</v>
      </c>
      <c r="AY40" s="3" t="s">
        <v>48</v>
      </c>
      <c r="AZ40" s="3">
        <v>150</v>
      </c>
      <c r="BA40" s="3">
        <v>250</v>
      </c>
      <c r="CA40" s="4"/>
      <c r="CB40" s="64" t="s">
        <v>23</v>
      </c>
      <c r="CC40" s="64" t="s">
        <v>23</v>
      </c>
      <c r="CD40" s="64"/>
      <c r="CE40" s="64"/>
      <c r="CF40" s="64"/>
      <c r="CG40" s="64">
        <v>10000</v>
      </c>
      <c r="CH40" s="64">
        <v>108</v>
      </c>
    </row>
    <row r="41" spans="1:87" x14ac:dyDescent="0.25">
      <c r="A41" s="66" t="s">
        <v>297</v>
      </c>
      <c r="B41" s="3" t="s">
        <v>3</v>
      </c>
      <c r="C41" s="3" t="s">
        <v>7</v>
      </c>
      <c r="F41" s="3">
        <v>0.4</v>
      </c>
      <c r="G41" s="3">
        <v>0.4</v>
      </c>
      <c r="X41" s="3" t="s">
        <v>321</v>
      </c>
      <c r="Y41" s="3">
        <f t="shared" si="1"/>
        <v>0.30000000000000004</v>
      </c>
      <c r="Z41" s="3">
        <f t="shared" si="2"/>
        <v>0.4</v>
      </c>
      <c r="AA41" s="1">
        <f t="shared" si="3"/>
        <v>0.4</v>
      </c>
      <c r="AI41" t="s">
        <v>2696</v>
      </c>
      <c r="AJ41" s="3" t="str">
        <f t="shared" si="0"/>
        <v/>
      </c>
    </row>
    <row r="42" spans="1:87" x14ac:dyDescent="0.25">
      <c r="A42" s="66" t="s">
        <v>297</v>
      </c>
      <c r="B42" s="3" t="s">
        <v>4</v>
      </c>
      <c r="C42" s="3" t="s">
        <v>7</v>
      </c>
      <c r="F42" s="3">
        <v>0.5</v>
      </c>
      <c r="G42" s="3">
        <v>0.5</v>
      </c>
      <c r="X42" s="3" t="s">
        <v>323</v>
      </c>
      <c r="Y42" s="3">
        <f t="shared" si="1"/>
        <v>0.375</v>
      </c>
      <c r="Z42" s="3">
        <f t="shared" si="2"/>
        <v>0.5</v>
      </c>
      <c r="AA42" s="1">
        <f t="shared" si="3"/>
        <v>0.5</v>
      </c>
      <c r="AI42" t="s">
        <v>3458</v>
      </c>
      <c r="AJ42" s="3" t="str">
        <f t="shared" si="0"/>
        <v/>
      </c>
    </row>
    <row r="43" spans="1:87" x14ac:dyDescent="0.25">
      <c r="A43" s="66" t="s">
        <v>297</v>
      </c>
      <c r="B43" s="3" t="s">
        <v>2</v>
      </c>
      <c r="C43" s="3" t="s">
        <v>8</v>
      </c>
      <c r="F43" s="3">
        <v>0.4</v>
      </c>
      <c r="G43" s="3">
        <v>0.4</v>
      </c>
      <c r="X43" s="3" t="s">
        <v>324</v>
      </c>
      <c r="Y43" s="3">
        <f t="shared" si="1"/>
        <v>0.30000000000000004</v>
      </c>
      <c r="Z43" s="3">
        <f t="shared" si="2"/>
        <v>0.4</v>
      </c>
      <c r="AA43" s="1">
        <f t="shared" si="3"/>
        <v>0.4</v>
      </c>
      <c r="AI43" t="s">
        <v>1221</v>
      </c>
      <c r="AJ43" s="3" t="str">
        <f t="shared" si="0"/>
        <v/>
      </c>
    </row>
    <row r="44" spans="1:87" x14ac:dyDescent="0.25">
      <c r="A44" s="66" t="s">
        <v>297</v>
      </c>
      <c r="B44" s="3" t="s">
        <v>3</v>
      </c>
      <c r="C44" s="3" t="s">
        <v>8</v>
      </c>
      <c r="F44" s="3">
        <v>0.45</v>
      </c>
      <c r="G44" s="3">
        <v>0.45</v>
      </c>
      <c r="X44" s="3" t="s">
        <v>323</v>
      </c>
      <c r="Y44" s="3">
        <f t="shared" si="1"/>
        <v>0.33750000000000002</v>
      </c>
      <c r="Z44" s="3">
        <f t="shared" si="2"/>
        <v>0.45</v>
      </c>
      <c r="AA44" s="1">
        <f t="shared" si="3"/>
        <v>0.45</v>
      </c>
      <c r="AI44" t="s">
        <v>283</v>
      </c>
      <c r="AJ44" s="3" t="str">
        <f t="shared" si="0"/>
        <v/>
      </c>
    </row>
    <row r="45" spans="1:87" x14ac:dyDescent="0.25">
      <c r="A45" s="66" t="s">
        <v>297</v>
      </c>
      <c r="B45" s="3" t="s">
        <v>4</v>
      </c>
      <c r="C45" s="3" t="s">
        <v>8</v>
      </c>
      <c r="F45" s="3">
        <v>0.55000000000000004</v>
      </c>
      <c r="G45" s="3">
        <v>0.55000000000000004</v>
      </c>
      <c r="X45" s="3" t="s">
        <v>325</v>
      </c>
      <c r="Y45" s="3">
        <f t="shared" si="1"/>
        <v>0.41250000000000003</v>
      </c>
      <c r="Z45" s="3">
        <f t="shared" si="2"/>
        <v>0.55000000000000004</v>
      </c>
      <c r="AA45" s="1">
        <f t="shared" si="3"/>
        <v>0.55000000000000004</v>
      </c>
      <c r="AI45" t="s">
        <v>1218</v>
      </c>
      <c r="AJ45" s="3" t="str">
        <f t="shared" ref="AJ45:AJ76" si="4">IF($AJ$7="Quote",IFERROR(VLOOKUP(AI45,$AF$7:$AG$240,2,FALSE),"Not included"),"")</f>
        <v/>
      </c>
    </row>
    <row r="46" spans="1:87" ht="45" x14ac:dyDescent="0.25">
      <c r="A46" s="66" t="s">
        <v>297</v>
      </c>
      <c r="AI46" t="s">
        <v>2698</v>
      </c>
      <c r="AJ46" s="3" t="str">
        <f t="shared" si="4"/>
        <v/>
      </c>
      <c r="CI46" s="1" t="s">
        <v>345</v>
      </c>
    </row>
    <row r="47" spans="1:87" ht="45" x14ac:dyDescent="0.25">
      <c r="A47" s="66" t="s">
        <v>297</v>
      </c>
      <c r="AI47" t="s">
        <v>2699</v>
      </c>
      <c r="AJ47" s="3" t="str">
        <f t="shared" si="4"/>
        <v/>
      </c>
      <c r="CI47" s="1" t="s">
        <v>346</v>
      </c>
    </row>
    <row r="48" spans="1:87" ht="135" x14ac:dyDescent="0.25">
      <c r="A48" s="117" t="s">
        <v>446</v>
      </c>
      <c r="B48" s="4" t="s">
        <v>2</v>
      </c>
      <c r="C48" s="4" t="s">
        <v>6</v>
      </c>
      <c r="D48" s="119" t="s">
        <v>447</v>
      </c>
      <c r="E48" s="120" t="s">
        <v>458</v>
      </c>
      <c r="F48" s="119" t="s">
        <v>456</v>
      </c>
      <c r="G48" s="121"/>
      <c r="H48" s="4"/>
      <c r="I48" s="4"/>
      <c r="J48" s="4"/>
      <c r="K48" s="2" t="s">
        <v>100</v>
      </c>
      <c r="L48" s="2"/>
      <c r="M48" s="4"/>
      <c r="N48" s="2" t="s">
        <v>269</v>
      </c>
      <c r="O48" s="2" t="s">
        <v>111</v>
      </c>
      <c r="P48" s="2">
        <v>0.05</v>
      </c>
      <c r="Q48" s="2">
        <v>0.05</v>
      </c>
      <c r="R48" s="2" t="s">
        <v>23</v>
      </c>
      <c r="S48" s="2"/>
      <c r="T48" s="2">
        <v>0.1</v>
      </c>
      <c r="U48" s="4">
        <v>7.0000000000000007E-2</v>
      </c>
      <c r="V48" s="4">
        <v>0.14000000000000001</v>
      </c>
      <c r="W48" s="121" t="s">
        <v>313</v>
      </c>
      <c r="X48" s="121" t="s">
        <v>46</v>
      </c>
      <c r="Y48" s="4" t="s">
        <v>461</v>
      </c>
      <c r="Z48" s="4" t="s">
        <v>462</v>
      </c>
      <c r="AA48" s="2" t="s">
        <v>46</v>
      </c>
      <c r="AB48" s="4" t="s">
        <v>46</v>
      </c>
      <c r="AC48" s="2" t="s">
        <v>46</v>
      </c>
      <c r="AD48" s="2" t="s">
        <v>46</v>
      </c>
      <c r="AH48" s="64">
        <v>150</v>
      </c>
      <c r="AI48" t="s">
        <v>2700</v>
      </c>
      <c r="AJ48" s="64" t="str">
        <f t="shared" si="4"/>
        <v/>
      </c>
      <c r="AK48" s="2" t="s">
        <v>46</v>
      </c>
      <c r="AL48" s="2" t="s">
        <v>46</v>
      </c>
      <c r="AM48" s="4">
        <v>50</v>
      </c>
      <c r="AN48" s="4">
        <v>100</v>
      </c>
      <c r="AO48" s="4" t="s">
        <v>46</v>
      </c>
      <c r="AP48" s="4" t="s">
        <v>221</v>
      </c>
      <c r="AQ48" s="4">
        <v>25</v>
      </c>
      <c r="AR48" s="4">
        <v>50</v>
      </c>
      <c r="AS48" s="4">
        <v>75</v>
      </c>
      <c r="AT48" s="4">
        <v>125</v>
      </c>
      <c r="AU48" s="4">
        <v>150</v>
      </c>
      <c r="AV48" s="4">
        <v>50</v>
      </c>
      <c r="AW48" s="121" t="s">
        <v>138</v>
      </c>
      <c r="AX48" s="4">
        <v>0.05</v>
      </c>
      <c r="AY48" s="4" t="s">
        <v>47</v>
      </c>
      <c r="AZ48" s="4">
        <v>75</v>
      </c>
      <c r="BA48" s="4">
        <v>150</v>
      </c>
      <c r="BB48" s="122" t="s">
        <v>295</v>
      </c>
      <c r="BC48" s="64">
        <v>275</v>
      </c>
      <c r="BD48" s="64">
        <v>50</v>
      </c>
      <c r="BE48" s="64">
        <v>50</v>
      </c>
      <c r="BF48" s="64">
        <v>325</v>
      </c>
      <c r="BG48" s="64">
        <v>60</v>
      </c>
      <c r="BH48" s="64">
        <v>60</v>
      </c>
      <c r="BI48" s="2" t="s">
        <v>224</v>
      </c>
      <c r="BJ48" s="2" t="s">
        <v>46</v>
      </c>
      <c r="BK48" s="2" t="s">
        <v>46</v>
      </c>
      <c r="BL48" s="2" t="s">
        <v>46</v>
      </c>
      <c r="BM48" s="2" t="s">
        <v>46</v>
      </c>
      <c r="BN48" s="9" t="s">
        <v>279</v>
      </c>
      <c r="BO48" s="102" t="s">
        <v>465</v>
      </c>
      <c r="BP48" s="2" t="s">
        <v>113</v>
      </c>
      <c r="BQ48" s="9" t="s">
        <v>234</v>
      </c>
      <c r="BR48" s="9" t="s">
        <v>63</v>
      </c>
      <c r="BS48" s="9" t="s">
        <v>64</v>
      </c>
      <c r="BT48" s="9" t="s">
        <v>65</v>
      </c>
      <c r="BU48" s="9" t="s">
        <v>67</v>
      </c>
      <c r="BV48" s="9" t="s">
        <v>68</v>
      </c>
      <c r="BW48" s="9" t="s">
        <v>69</v>
      </c>
      <c r="BX48" s="9" t="s">
        <v>70</v>
      </c>
      <c r="BY48" s="9" t="s">
        <v>66</v>
      </c>
      <c r="BZ48" s="9" t="s">
        <v>46</v>
      </c>
      <c r="CA48" s="64">
        <v>2500</v>
      </c>
      <c r="CB48" s="64">
        <v>321</v>
      </c>
      <c r="CC48" s="64">
        <v>2500</v>
      </c>
      <c r="CD48" s="64" t="s">
        <v>46</v>
      </c>
      <c r="CE48" s="64">
        <v>1000</v>
      </c>
      <c r="CF48" s="64">
        <v>82</v>
      </c>
      <c r="CG48" s="64">
        <v>1000</v>
      </c>
      <c r="CH48" s="64">
        <v>114</v>
      </c>
      <c r="CI48" s="2"/>
    </row>
    <row r="49" spans="1:87" ht="270" x14ac:dyDescent="0.25">
      <c r="A49" s="118" t="s">
        <v>446</v>
      </c>
      <c r="B49" s="4" t="s">
        <v>3</v>
      </c>
      <c r="C49" s="4" t="s">
        <v>6</v>
      </c>
      <c r="D49" s="119" t="s">
        <v>448</v>
      </c>
      <c r="E49" s="2" t="s">
        <v>459</v>
      </c>
      <c r="F49" s="4"/>
      <c r="G49" s="4"/>
      <c r="H49" s="4"/>
      <c r="I49" s="4"/>
      <c r="J49" s="4"/>
      <c r="K49" s="2" t="s">
        <v>108</v>
      </c>
      <c r="L49" s="2" t="s">
        <v>131</v>
      </c>
      <c r="M49" s="4" t="s">
        <v>135</v>
      </c>
      <c r="N49" s="2" t="s">
        <v>109</v>
      </c>
      <c r="O49" s="4"/>
      <c r="P49" s="2"/>
      <c r="Q49" s="2"/>
      <c r="R49" s="2"/>
      <c r="S49" s="2"/>
      <c r="T49" s="2"/>
      <c r="U49" s="4"/>
      <c r="V49" s="4"/>
      <c r="W49" s="4"/>
      <c r="X49" s="4"/>
      <c r="Y49" s="4"/>
      <c r="Z49" s="4"/>
      <c r="AA49" s="2" t="s">
        <v>23</v>
      </c>
      <c r="AB49" s="4" t="s">
        <v>23</v>
      </c>
      <c r="AC49" s="2" t="s">
        <v>23</v>
      </c>
      <c r="AD49" s="2"/>
      <c r="AE49" s="4" t="s">
        <v>122</v>
      </c>
      <c r="AF49" s="64">
        <v>50</v>
      </c>
      <c r="AG49" s="64">
        <v>75</v>
      </c>
      <c r="AH49" s="4"/>
      <c r="AI49" t="s">
        <v>1360</v>
      </c>
      <c r="AJ49" s="4" t="str">
        <f t="shared" si="4"/>
        <v/>
      </c>
      <c r="AK49" s="4"/>
      <c r="AL49" s="4"/>
      <c r="AM49" s="4"/>
      <c r="AN49" s="4"/>
      <c r="AO49" s="4"/>
      <c r="AP49" s="4"/>
      <c r="AQ49" s="4"/>
      <c r="AR49" s="4"/>
      <c r="AS49" s="4"/>
      <c r="AT49" s="4"/>
      <c r="AU49" s="4"/>
      <c r="AV49" s="4"/>
      <c r="AW49" s="2" t="s">
        <v>247</v>
      </c>
      <c r="AX49" s="4"/>
      <c r="AY49" s="4" t="s">
        <v>51</v>
      </c>
      <c r="AZ49" s="4">
        <v>100</v>
      </c>
      <c r="BA49" s="4">
        <v>200</v>
      </c>
      <c r="BB49" s="4" t="s">
        <v>23</v>
      </c>
      <c r="BC49" s="4"/>
      <c r="BD49" s="4"/>
      <c r="BE49" s="4"/>
      <c r="BF49" s="4"/>
      <c r="BG49" s="4"/>
      <c r="BH49" s="4"/>
      <c r="BI49" s="2"/>
      <c r="BJ49" s="2"/>
      <c r="BK49" s="2"/>
      <c r="BL49" s="2" t="s">
        <v>23</v>
      </c>
      <c r="BM49" s="2" t="s">
        <v>23</v>
      </c>
      <c r="BN49" s="4"/>
      <c r="BO49" s="4"/>
      <c r="BP49" s="4"/>
      <c r="BQ49" s="9" t="s">
        <v>119</v>
      </c>
      <c r="BR49" s="9" t="s">
        <v>78</v>
      </c>
      <c r="BS49" s="9" t="s">
        <v>77</v>
      </c>
      <c r="BT49" s="9" t="s">
        <v>71</v>
      </c>
      <c r="BU49" s="9" t="s">
        <v>72</v>
      </c>
      <c r="BV49" s="9" t="s">
        <v>73</v>
      </c>
      <c r="BW49" s="9" t="s">
        <v>74</v>
      </c>
      <c r="BX49" s="9" t="s">
        <v>76</v>
      </c>
      <c r="BY49" s="9" t="s">
        <v>75</v>
      </c>
      <c r="BZ49" s="9"/>
      <c r="CA49" s="64">
        <v>5000</v>
      </c>
      <c r="CB49" s="64">
        <v>264</v>
      </c>
      <c r="CC49" s="64">
        <v>5000</v>
      </c>
      <c r="CD49" s="64">
        <v>534</v>
      </c>
      <c r="CE49" s="64">
        <v>2500</v>
      </c>
      <c r="CF49" s="64">
        <v>81</v>
      </c>
      <c r="CG49" s="64">
        <v>2500</v>
      </c>
      <c r="CH49" s="64">
        <v>113</v>
      </c>
      <c r="CI49" s="2"/>
    </row>
    <row r="50" spans="1:87" ht="105" x14ac:dyDescent="0.25">
      <c r="A50" s="118" t="s">
        <v>446</v>
      </c>
      <c r="B50" s="4" t="s">
        <v>4</v>
      </c>
      <c r="C50" s="4" t="s">
        <v>6</v>
      </c>
      <c r="D50" s="119" t="s">
        <v>449</v>
      </c>
      <c r="E50" s="2" t="s">
        <v>460</v>
      </c>
      <c r="F50" s="4"/>
      <c r="G50" s="4"/>
      <c r="H50" s="4"/>
      <c r="I50" s="4"/>
      <c r="J50" s="4"/>
      <c r="K50" s="2" t="s">
        <v>457</v>
      </c>
      <c r="L50" s="2" t="s">
        <v>132</v>
      </c>
      <c r="M50" s="2" t="s">
        <v>136</v>
      </c>
      <c r="N50" s="2"/>
      <c r="O50" s="4"/>
      <c r="P50" s="2"/>
      <c r="Q50" s="2"/>
      <c r="R50" s="2"/>
      <c r="S50" s="2"/>
      <c r="T50" s="2"/>
      <c r="U50" s="4"/>
      <c r="V50" s="4"/>
      <c r="W50" s="4"/>
      <c r="X50" s="4"/>
      <c r="Y50" s="4"/>
      <c r="Z50" s="4"/>
      <c r="AA50" s="2" t="s">
        <v>23</v>
      </c>
      <c r="AB50" s="2" t="s">
        <v>23</v>
      </c>
      <c r="AC50" s="2" t="s">
        <v>23</v>
      </c>
      <c r="AD50" s="2"/>
      <c r="AE50" s="4"/>
      <c r="AF50" s="4"/>
      <c r="AG50" s="4"/>
      <c r="AH50" s="4"/>
      <c r="AI50" t="s">
        <v>2701</v>
      </c>
      <c r="AJ50" s="4" t="str">
        <f t="shared" si="4"/>
        <v/>
      </c>
      <c r="AK50" s="4"/>
      <c r="AL50" s="4"/>
      <c r="AM50" s="4"/>
      <c r="AN50" s="4"/>
      <c r="AO50" s="4"/>
      <c r="AP50" s="4"/>
      <c r="AQ50" s="4"/>
      <c r="AR50" s="4"/>
      <c r="AS50" s="4"/>
      <c r="AT50" s="4"/>
      <c r="AU50" s="4"/>
      <c r="AV50" s="4"/>
      <c r="AW50" s="2" t="s">
        <v>463</v>
      </c>
      <c r="AX50" s="4"/>
      <c r="AY50" s="4" t="s">
        <v>49</v>
      </c>
      <c r="AZ50" s="4">
        <v>125</v>
      </c>
      <c r="BA50" s="4">
        <v>200</v>
      </c>
      <c r="BB50" s="4" t="s">
        <v>23</v>
      </c>
      <c r="BC50" s="4"/>
      <c r="BD50" s="4"/>
      <c r="BE50" s="4"/>
      <c r="BF50" s="4"/>
      <c r="BG50" s="4"/>
      <c r="BH50" s="4"/>
      <c r="BI50" s="4"/>
      <c r="BJ50" s="4"/>
      <c r="BK50" s="4"/>
      <c r="BL50" s="2" t="s">
        <v>23</v>
      </c>
      <c r="BM50" s="2" t="s">
        <v>23</v>
      </c>
      <c r="BN50" s="4"/>
      <c r="BO50" s="4"/>
      <c r="BP50" s="4"/>
      <c r="BQ50" s="9" t="s">
        <v>120</v>
      </c>
      <c r="BR50" s="4"/>
      <c r="BS50" s="4"/>
      <c r="BT50" s="4"/>
      <c r="BU50" s="4"/>
      <c r="BV50" s="4"/>
      <c r="BW50" s="4"/>
      <c r="BX50" s="4"/>
      <c r="BY50" s="4"/>
      <c r="BZ50" s="4"/>
      <c r="CA50" s="64">
        <v>10000</v>
      </c>
      <c r="CB50" s="64">
        <v>235</v>
      </c>
      <c r="CC50" s="64">
        <v>10000</v>
      </c>
      <c r="CD50" s="64">
        <v>304</v>
      </c>
      <c r="CE50" s="64">
        <v>5000</v>
      </c>
      <c r="CF50" s="64">
        <v>78</v>
      </c>
      <c r="CG50" s="64">
        <v>5000</v>
      </c>
      <c r="CH50" s="64">
        <v>111</v>
      </c>
      <c r="CI50" s="2"/>
    </row>
    <row r="51" spans="1:87" ht="105" x14ac:dyDescent="0.25">
      <c r="A51" s="118" t="s">
        <v>446</v>
      </c>
      <c r="B51" s="4" t="s">
        <v>2</v>
      </c>
      <c r="C51" s="4" t="s">
        <v>7</v>
      </c>
      <c r="D51" s="119" t="s">
        <v>454</v>
      </c>
      <c r="E51" s="2"/>
      <c r="F51" s="4"/>
      <c r="G51" s="4"/>
      <c r="H51" s="4"/>
      <c r="I51" s="4"/>
      <c r="J51" s="4"/>
      <c r="K51" s="4"/>
      <c r="L51" s="2" t="s">
        <v>133</v>
      </c>
      <c r="M51" s="4"/>
      <c r="N51" s="2"/>
      <c r="O51" s="4"/>
      <c r="P51" s="2"/>
      <c r="Q51" s="2"/>
      <c r="R51" s="2"/>
      <c r="S51" s="2"/>
      <c r="T51" s="2"/>
      <c r="U51" s="4"/>
      <c r="V51" s="4"/>
      <c r="W51" s="4"/>
      <c r="X51" s="4"/>
      <c r="Y51" s="4"/>
      <c r="Z51" s="4"/>
      <c r="AA51" s="2"/>
      <c r="AB51" s="4"/>
      <c r="AC51" s="2" t="s">
        <v>23</v>
      </c>
      <c r="AD51" s="2"/>
      <c r="AE51" s="4"/>
      <c r="AF51" s="4"/>
      <c r="AG51" s="4"/>
      <c r="AH51" s="4"/>
      <c r="AI51" t="s">
        <v>2702</v>
      </c>
      <c r="AJ51" s="4" t="str">
        <f t="shared" si="4"/>
        <v/>
      </c>
      <c r="AK51" s="4"/>
      <c r="AL51" s="4"/>
      <c r="AM51" s="4"/>
      <c r="AN51" s="4"/>
      <c r="AO51" s="4"/>
      <c r="AP51" s="4"/>
      <c r="AQ51" s="4"/>
      <c r="AR51" s="4"/>
      <c r="AS51" s="4"/>
      <c r="AT51" s="4"/>
      <c r="AU51" s="4"/>
      <c r="AV51" s="4"/>
      <c r="AW51" s="2" t="s">
        <v>464</v>
      </c>
      <c r="AX51" s="4"/>
      <c r="AY51" s="4" t="s">
        <v>48</v>
      </c>
      <c r="AZ51" s="4">
        <v>150</v>
      </c>
      <c r="BA51" s="4">
        <v>250</v>
      </c>
      <c r="BB51" s="4"/>
      <c r="BC51" s="4"/>
      <c r="BD51" s="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64"/>
      <c r="CF51" s="64"/>
      <c r="CG51" s="64">
        <v>10000</v>
      </c>
      <c r="CH51" s="64">
        <v>108</v>
      </c>
      <c r="CI51" s="2"/>
    </row>
    <row r="52" spans="1:87" ht="75" x14ac:dyDescent="0.25">
      <c r="A52" s="118" t="s">
        <v>446</v>
      </c>
      <c r="B52" s="4" t="s">
        <v>3</v>
      </c>
      <c r="C52" s="4" t="s">
        <v>7</v>
      </c>
      <c r="D52" s="119" t="s">
        <v>455</v>
      </c>
      <c r="E52" s="2"/>
      <c r="F52" s="4"/>
      <c r="G52" s="4"/>
      <c r="H52" s="4"/>
      <c r="I52" s="4"/>
      <c r="J52" s="4"/>
      <c r="K52" s="4"/>
      <c r="L52" s="2" t="s">
        <v>134</v>
      </c>
      <c r="M52" s="4"/>
      <c r="N52" s="2"/>
      <c r="O52" s="4"/>
      <c r="P52" s="2"/>
      <c r="Q52" s="2"/>
      <c r="R52" s="2"/>
      <c r="S52" s="2"/>
      <c r="T52" s="2"/>
      <c r="U52" s="4"/>
      <c r="V52" s="4"/>
      <c r="W52" s="4"/>
      <c r="X52" s="4"/>
      <c r="Y52" s="4"/>
      <c r="Z52" s="4"/>
      <c r="AA52" s="2"/>
      <c r="AB52" s="4"/>
      <c r="AC52" s="2"/>
      <c r="AD52" s="2"/>
      <c r="AE52" s="4"/>
      <c r="AF52" s="4"/>
      <c r="AG52" s="4"/>
      <c r="AH52" s="4"/>
      <c r="AI52" t="s">
        <v>2703</v>
      </c>
      <c r="AJ52" s="4" t="str">
        <f t="shared" si="4"/>
        <v/>
      </c>
      <c r="AK52" s="4"/>
      <c r="AL52" s="4"/>
      <c r="AM52" s="4"/>
      <c r="AN52" s="4"/>
      <c r="AO52" s="4"/>
      <c r="AP52" s="4"/>
      <c r="AQ52" s="4"/>
      <c r="AR52" s="4"/>
      <c r="AS52" s="4"/>
      <c r="AT52" s="4"/>
      <c r="AU52" s="4"/>
      <c r="AV52" s="4"/>
      <c r="AW52" s="4" t="s">
        <v>23</v>
      </c>
      <c r="AX52" s="4"/>
      <c r="AY52" s="4"/>
      <c r="AZ52" s="4"/>
      <c r="BA52" s="4"/>
      <c r="BB52" s="4"/>
      <c r="BC52" s="4"/>
      <c r="BD52" s="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2"/>
    </row>
    <row r="53" spans="1:87" ht="30" x14ac:dyDescent="0.25">
      <c r="A53" s="118" t="s">
        <v>446</v>
      </c>
      <c r="B53" s="4" t="s">
        <v>4</v>
      </c>
      <c r="C53" s="4" t="s">
        <v>7</v>
      </c>
      <c r="D53" s="119" t="s">
        <v>450</v>
      </c>
      <c r="E53" s="2"/>
      <c r="F53" s="4"/>
      <c r="G53" s="4"/>
      <c r="H53" s="4"/>
      <c r="I53" s="4"/>
      <c r="J53" s="4"/>
      <c r="K53" s="4"/>
      <c r="L53" s="4"/>
      <c r="M53" s="4"/>
      <c r="N53" s="2"/>
      <c r="O53" s="4"/>
      <c r="P53" s="2"/>
      <c r="Q53" s="2"/>
      <c r="R53" s="2"/>
      <c r="S53" s="2"/>
      <c r="T53" s="2"/>
      <c r="U53" s="4"/>
      <c r="V53" s="4"/>
      <c r="W53" s="4"/>
      <c r="X53" s="4"/>
      <c r="Y53" s="4"/>
      <c r="Z53" s="4"/>
      <c r="AA53" s="2"/>
      <c r="AB53" s="4"/>
      <c r="AC53" s="2"/>
      <c r="AD53" s="2"/>
      <c r="AE53" s="4"/>
      <c r="AF53" s="4"/>
      <c r="AG53" s="4"/>
      <c r="AH53" s="4"/>
      <c r="AI53" t="s">
        <v>2704</v>
      </c>
      <c r="AJ53" s="4" t="str">
        <f t="shared" si="4"/>
        <v/>
      </c>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2"/>
    </row>
    <row r="54" spans="1:87" ht="30" x14ac:dyDescent="0.25">
      <c r="A54" s="118" t="s">
        <v>446</v>
      </c>
      <c r="B54" s="4" t="s">
        <v>2</v>
      </c>
      <c r="C54" s="4" t="s">
        <v>8</v>
      </c>
      <c r="D54" s="119" t="s">
        <v>451</v>
      </c>
      <c r="E54" s="2"/>
      <c r="F54" s="4"/>
      <c r="G54" s="4"/>
      <c r="H54" s="4"/>
      <c r="I54" s="4"/>
      <c r="J54" s="4"/>
      <c r="K54" s="4"/>
      <c r="L54" s="4"/>
      <c r="M54" s="4"/>
      <c r="N54" s="2"/>
      <c r="O54" s="4"/>
      <c r="P54" s="2"/>
      <c r="Q54" s="2"/>
      <c r="R54" s="2"/>
      <c r="S54" s="2"/>
      <c r="T54" s="2"/>
      <c r="U54" s="4"/>
      <c r="V54" s="4"/>
      <c r="W54" s="4"/>
      <c r="X54" s="4"/>
      <c r="Y54" s="4"/>
      <c r="Z54" s="4"/>
      <c r="AA54" s="2"/>
      <c r="AB54" s="4"/>
      <c r="AC54" s="2"/>
      <c r="AD54" s="2"/>
      <c r="AE54" s="4"/>
      <c r="AF54" s="4"/>
      <c r="AG54" s="4"/>
      <c r="AH54" s="4"/>
      <c r="AI54" t="s">
        <v>2705</v>
      </c>
      <c r="AJ54" s="4" t="str">
        <f t="shared" si="4"/>
        <v/>
      </c>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2"/>
    </row>
    <row r="55" spans="1:87" ht="30" x14ac:dyDescent="0.25">
      <c r="A55" s="118" t="s">
        <v>446</v>
      </c>
      <c r="B55" s="4" t="s">
        <v>3</v>
      </c>
      <c r="C55" s="4" t="s">
        <v>8</v>
      </c>
      <c r="D55" s="119" t="s">
        <v>452</v>
      </c>
      <c r="E55" s="2"/>
      <c r="F55" s="4"/>
      <c r="G55" s="4"/>
      <c r="H55" s="4"/>
      <c r="I55" s="4"/>
      <c r="J55" s="4"/>
      <c r="K55" s="4"/>
      <c r="L55" s="4"/>
      <c r="M55" s="4"/>
      <c r="N55" s="2"/>
      <c r="O55" s="4"/>
      <c r="P55" s="2"/>
      <c r="Q55" s="2"/>
      <c r="R55" s="2"/>
      <c r="S55" s="2"/>
      <c r="T55" s="2"/>
      <c r="U55" s="4"/>
      <c r="V55" s="4"/>
      <c r="W55" s="4"/>
      <c r="X55" s="4"/>
      <c r="Y55" s="4"/>
      <c r="Z55" s="4"/>
      <c r="AA55" s="2"/>
      <c r="AB55" s="4"/>
      <c r="AC55" s="2"/>
      <c r="AD55" s="2"/>
      <c r="AE55" s="4"/>
      <c r="AF55" s="4"/>
      <c r="AG55" s="4"/>
      <c r="AH55" s="4"/>
      <c r="AI55" t="s">
        <v>2706</v>
      </c>
      <c r="AJ55" s="4" t="str">
        <f t="shared" si="4"/>
        <v/>
      </c>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2" t="s">
        <v>24</v>
      </c>
    </row>
    <row r="56" spans="1:87" ht="45" x14ac:dyDescent="0.25">
      <c r="A56" s="118" t="s">
        <v>446</v>
      </c>
      <c r="B56" s="4" t="s">
        <v>4</v>
      </c>
      <c r="C56" s="4" t="s">
        <v>8</v>
      </c>
      <c r="D56" s="119" t="s">
        <v>453</v>
      </c>
      <c r="E56" s="2"/>
      <c r="F56" s="4"/>
      <c r="G56" s="4"/>
      <c r="H56" s="4"/>
      <c r="I56" s="4"/>
      <c r="J56" s="4"/>
      <c r="K56" s="4"/>
      <c r="L56" s="4"/>
      <c r="M56" s="4"/>
      <c r="N56" s="2"/>
      <c r="O56" s="4"/>
      <c r="P56" s="2"/>
      <c r="Q56" s="2"/>
      <c r="R56" s="2"/>
      <c r="S56" s="2"/>
      <c r="T56" s="2"/>
      <c r="U56" s="4"/>
      <c r="V56" s="4"/>
      <c r="W56" s="4"/>
      <c r="X56" s="4"/>
      <c r="Y56" s="4"/>
      <c r="Z56" s="4"/>
      <c r="AA56" s="2"/>
      <c r="AB56" s="4"/>
      <c r="AC56" s="2"/>
      <c r="AD56" s="2"/>
      <c r="AE56" s="4"/>
      <c r="AF56" s="4"/>
      <c r="AG56" s="4"/>
      <c r="AH56" s="4"/>
      <c r="AI56" t="s">
        <v>2707</v>
      </c>
      <c r="AJ56" s="4" t="str">
        <f t="shared" si="4"/>
        <v/>
      </c>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2" t="s">
        <v>116</v>
      </c>
    </row>
    <row r="57" spans="1:87" x14ac:dyDescent="0.25">
      <c r="A57" s="60"/>
      <c r="AE57" s="4"/>
      <c r="AF57" s="4"/>
      <c r="AG57" s="4"/>
      <c r="AI57" t="s">
        <v>2708</v>
      </c>
      <c r="AJ57" s="3" t="str">
        <f t="shared" si="4"/>
        <v/>
      </c>
    </row>
    <row r="58" spans="1:87" x14ac:dyDescent="0.25">
      <c r="A58" s="60"/>
      <c r="AI58" t="s">
        <v>1271</v>
      </c>
      <c r="AJ58" s="3" t="str">
        <f t="shared" si="4"/>
        <v/>
      </c>
    </row>
    <row r="59" spans="1:87" x14ac:dyDescent="0.25">
      <c r="A59" s="60"/>
      <c r="AI59" t="s">
        <v>2852</v>
      </c>
      <c r="AJ59" s="3" t="str">
        <f t="shared" si="4"/>
        <v/>
      </c>
    </row>
    <row r="60" spans="1:87" x14ac:dyDescent="0.25">
      <c r="A60" s="60"/>
      <c r="AI60" t="s">
        <v>1225</v>
      </c>
      <c r="AJ60" s="3" t="str">
        <f t="shared" si="4"/>
        <v/>
      </c>
    </row>
    <row r="61" spans="1:87" x14ac:dyDescent="0.25">
      <c r="A61" s="60"/>
      <c r="AI61" t="s">
        <v>2710</v>
      </c>
      <c r="AJ61" s="3" t="str">
        <f t="shared" si="4"/>
        <v/>
      </c>
    </row>
    <row r="62" spans="1:87" x14ac:dyDescent="0.25">
      <c r="A62" s="60"/>
      <c r="AI62" t="s">
        <v>2711</v>
      </c>
      <c r="AJ62" s="3" t="str">
        <f t="shared" si="4"/>
        <v/>
      </c>
    </row>
    <row r="63" spans="1:87" x14ac:dyDescent="0.25">
      <c r="A63" s="60"/>
      <c r="AI63" t="s">
        <v>2712</v>
      </c>
      <c r="AJ63" s="3" t="str">
        <f t="shared" si="4"/>
        <v/>
      </c>
    </row>
    <row r="64" spans="1:87" x14ac:dyDescent="0.25">
      <c r="A64" s="60"/>
      <c r="AI64" t="s">
        <v>2713</v>
      </c>
      <c r="AJ64" s="3" t="str">
        <f t="shared" si="4"/>
        <v/>
      </c>
    </row>
    <row r="65" spans="35:36" x14ac:dyDescent="0.25">
      <c r="AI65" t="s">
        <v>2714</v>
      </c>
      <c r="AJ65" s="3" t="str">
        <f t="shared" si="4"/>
        <v/>
      </c>
    </row>
    <row r="66" spans="35:36" x14ac:dyDescent="0.25">
      <c r="AI66" t="s">
        <v>2715</v>
      </c>
      <c r="AJ66" s="3" t="str">
        <f t="shared" si="4"/>
        <v/>
      </c>
    </row>
    <row r="67" spans="35:36" x14ac:dyDescent="0.25">
      <c r="AI67" t="s">
        <v>2716</v>
      </c>
      <c r="AJ67" s="3" t="str">
        <f t="shared" si="4"/>
        <v/>
      </c>
    </row>
    <row r="68" spans="35:36" x14ac:dyDescent="0.25">
      <c r="AI68" t="s">
        <v>2717</v>
      </c>
      <c r="AJ68" s="3" t="str">
        <f t="shared" si="4"/>
        <v/>
      </c>
    </row>
    <row r="69" spans="35:36" x14ac:dyDescent="0.25">
      <c r="AI69" t="s">
        <v>2718</v>
      </c>
      <c r="AJ69" s="3" t="str">
        <f t="shared" si="4"/>
        <v/>
      </c>
    </row>
    <row r="70" spans="35:36" x14ac:dyDescent="0.25">
      <c r="AI70" t="s">
        <v>2719</v>
      </c>
      <c r="AJ70" s="3" t="str">
        <f t="shared" si="4"/>
        <v/>
      </c>
    </row>
    <row r="71" spans="35:36" x14ac:dyDescent="0.25">
      <c r="AI71" t="s">
        <v>2720</v>
      </c>
      <c r="AJ71" s="3" t="str">
        <f t="shared" si="4"/>
        <v/>
      </c>
    </row>
    <row r="72" spans="35:36" x14ac:dyDescent="0.25">
      <c r="AI72" t="s">
        <v>2721</v>
      </c>
      <c r="AJ72" s="3" t="str">
        <f t="shared" si="4"/>
        <v/>
      </c>
    </row>
    <row r="73" spans="35:36" x14ac:dyDescent="0.25">
      <c r="AI73" t="s">
        <v>2722</v>
      </c>
      <c r="AJ73" s="3" t="str">
        <f t="shared" si="4"/>
        <v/>
      </c>
    </row>
    <row r="74" spans="35:36" x14ac:dyDescent="0.25">
      <c r="AI74" t="s">
        <v>2723</v>
      </c>
      <c r="AJ74" s="3" t="str">
        <f t="shared" si="4"/>
        <v/>
      </c>
    </row>
    <row r="75" spans="35:36" x14ac:dyDescent="0.25">
      <c r="AI75" t="s">
        <v>2724</v>
      </c>
      <c r="AJ75" s="3" t="str">
        <f t="shared" si="4"/>
        <v/>
      </c>
    </row>
    <row r="76" spans="35:36" x14ac:dyDescent="0.25">
      <c r="AI76" t="s">
        <v>2725</v>
      </c>
      <c r="AJ76" s="3" t="str">
        <f t="shared" si="4"/>
        <v/>
      </c>
    </row>
    <row r="77" spans="35:36" x14ac:dyDescent="0.25">
      <c r="AI77" t="s">
        <v>2726</v>
      </c>
      <c r="AJ77" s="3" t="str">
        <f t="shared" ref="AJ77:AJ108" si="5">IF($AJ$7="Quote",IFERROR(VLOOKUP(AI77,$AF$7:$AG$240,2,FALSE),"Not included"),"")</f>
        <v/>
      </c>
    </row>
    <row r="78" spans="35:36" x14ac:dyDescent="0.25">
      <c r="AI78" t="s">
        <v>2727</v>
      </c>
      <c r="AJ78" s="3" t="str">
        <f t="shared" si="5"/>
        <v/>
      </c>
    </row>
    <row r="79" spans="35:36" x14ac:dyDescent="0.25">
      <c r="AI79" t="s">
        <v>2659</v>
      </c>
      <c r="AJ79" s="3" t="str">
        <f t="shared" si="5"/>
        <v/>
      </c>
    </row>
    <row r="80" spans="35:36" x14ac:dyDescent="0.25">
      <c r="AI80" t="s">
        <v>2728</v>
      </c>
      <c r="AJ80" s="3" t="str">
        <f t="shared" si="5"/>
        <v/>
      </c>
    </row>
    <row r="81" spans="35:36" x14ac:dyDescent="0.25">
      <c r="AI81" t="s">
        <v>2729</v>
      </c>
      <c r="AJ81" s="3" t="str">
        <f t="shared" si="5"/>
        <v/>
      </c>
    </row>
    <row r="82" spans="35:36" x14ac:dyDescent="0.25">
      <c r="AI82" t="s">
        <v>2730</v>
      </c>
      <c r="AJ82" s="3" t="str">
        <f t="shared" si="5"/>
        <v/>
      </c>
    </row>
    <row r="83" spans="35:36" x14ac:dyDescent="0.25">
      <c r="AI83" t="s">
        <v>1245</v>
      </c>
      <c r="AJ83" s="3" t="str">
        <f t="shared" si="5"/>
        <v/>
      </c>
    </row>
    <row r="84" spans="35:36" x14ac:dyDescent="0.25">
      <c r="AI84" t="s">
        <v>1242</v>
      </c>
      <c r="AJ84" s="3" t="str">
        <f t="shared" si="5"/>
        <v/>
      </c>
    </row>
    <row r="85" spans="35:36" x14ac:dyDescent="0.25">
      <c r="AI85" t="s">
        <v>2731</v>
      </c>
      <c r="AJ85" s="3" t="str">
        <f t="shared" si="5"/>
        <v/>
      </c>
    </row>
    <row r="86" spans="35:36" x14ac:dyDescent="0.25">
      <c r="AI86" t="s">
        <v>2732</v>
      </c>
      <c r="AJ86" s="3" t="str">
        <f t="shared" si="5"/>
        <v/>
      </c>
    </row>
    <row r="87" spans="35:36" x14ac:dyDescent="0.25">
      <c r="AI87" t="s">
        <v>1217</v>
      </c>
      <c r="AJ87" s="3" t="str">
        <f t="shared" si="5"/>
        <v/>
      </c>
    </row>
    <row r="88" spans="35:36" x14ac:dyDescent="0.25">
      <c r="AI88" t="s">
        <v>1231</v>
      </c>
      <c r="AJ88" s="3" t="str">
        <f t="shared" si="5"/>
        <v/>
      </c>
    </row>
    <row r="89" spans="35:36" x14ac:dyDescent="0.25">
      <c r="AI89" t="s">
        <v>2733</v>
      </c>
      <c r="AJ89" s="3" t="str">
        <f t="shared" si="5"/>
        <v/>
      </c>
    </row>
    <row r="90" spans="35:36" x14ac:dyDescent="0.25">
      <c r="AI90" t="s">
        <v>2734</v>
      </c>
      <c r="AJ90" s="3" t="str">
        <f t="shared" si="5"/>
        <v/>
      </c>
    </row>
    <row r="91" spans="35:36" x14ac:dyDescent="0.25">
      <c r="AI91" t="s">
        <v>2735</v>
      </c>
      <c r="AJ91" s="3" t="str">
        <f t="shared" si="5"/>
        <v/>
      </c>
    </row>
    <row r="92" spans="35:36" x14ac:dyDescent="0.25">
      <c r="AI92" t="s">
        <v>2853</v>
      </c>
      <c r="AJ92" s="3" t="str">
        <f t="shared" si="5"/>
        <v/>
      </c>
    </row>
    <row r="93" spans="35:36" x14ac:dyDescent="0.25">
      <c r="AI93" t="s">
        <v>1234</v>
      </c>
      <c r="AJ93" s="3" t="str">
        <f t="shared" si="5"/>
        <v/>
      </c>
    </row>
    <row r="94" spans="35:36" x14ac:dyDescent="0.25">
      <c r="AI94" t="s">
        <v>2736</v>
      </c>
      <c r="AJ94" s="3" t="str">
        <f t="shared" si="5"/>
        <v/>
      </c>
    </row>
    <row r="95" spans="35:36" x14ac:dyDescent="0.25">
      <c r="AI95" t="s">
        <v>1246</v>
      </c>
      <c r="AJ95" s="3" t="str">
        <f t="shared" si="5"/>
        <v/>
      </c>
    </row>
    <row r="96" spans="35:36" x14ac:dyDescent="0.25">
      <c r="AI96" t="s">
        <v>2737</v>
      </c>
      <c r="AJ96" s="3" t="str">
        <f t="shared" si="5"/>
        <v/>
      </c>
    </row>
    <row r="97" spans="35:36" x14ac:dyDescent="0.25">
      <c r="AI97" t="s">
        <v>2738</v>
      </c>
      <c r="AJ97" s="3" t="str">
        <f t="shared" si="5"/>
        <v/>
      </c>
    </row>
    <row r="98" spans="35:36" x14ac:dyDescent="0.25">
      <c r="AI98" t="s">
        <v>2739</v>
      </c>
      <c r="AJ98" s="3" t="str">
        <f t="shared" si="5"/>
        <v/>
      </c>
    </row>
    <row r="99" spans="35:36" x14ac:dyDescent="0.25">
      <c r="AI99" t="s">
        <v>2740</v>
      </c>
      <c r="AJ99" s="3" t="str">
        <f t="shared" si="5"/>
        <v/>
      </c>
    </row>
    <row r="100" spans="35:36" x14ac:dyDescent="0.25">
      <c r="AI100" t="s">
        <v>2741</v>
      </c>
      <c r="AJ100" s="3" t="str">
        <f t="shared" si="5"/>
        <v/>
      </c>
    </row>
    <row r="101" spans="35:36" x14ac:dyDescent="0.25">
      <c r="AI101" t="s">
        <v>2742</v>
      </c>
      <c r="AJ101" s="3" t="str">
        <f t="shared" si="5"/>
        <v/>
      </c>
    </row>
    <row r="102" spans="35:36" x14ac:dyDescent="0.25">
      <c r="AI102" t="s">
        <v>2743</v>
      </c>
      <c r="AJ102" s="3" t="str">
        <f t="shared" si="5"/>
        <v/>
      </c>
    </row>
    <row r="103" spans="35:36" x14ac:dyDescent="0.25">
      <c r="AI103" t="s">
        <v>2744</v>
      </c>
      <c r="AJ103" s="3" t="str">
        <f t="shared" si="5"/>
        <v/>
      </c>
    </row>
    <row r="104" spans="35:36" x14ac:dyDescent="0.25">
      <c r="AI104" t="s">
        <v>3445</v>
      </c>
      <c r="AJ104" s="3" t="str">
        <f t="shared" si="5"/>
        <v/>
      </c>
    </row>
    <row r="105" spans="35:36" x14ac:dyDescent="0.25">
      <c r="AI105" t="s">
        <v>2745</v>
      </c>
      <c r="AJ105" s="3" t="str">
        <f t="shared" si="5"/>
        <v/>
      </c>
    </row>
    <row r="106" spans="35:36" x14ac:dyDescent="0.25">
      <c r="AI106" t="s">
        <v>2746</v>
      </c>
      <c r="AJ106" s="3" t="str">
        <f t="shared" si="5"/>
        <v/>
      </c>
    </row>
    <row r="107" spans="35:36" x14ac:dyDescent="0.25">
      <c r="AI107" t="s">
        <v>2747</v>
      </c>
      <c r="AJ107" s="3" t="str">
        <f t="shared" si="5"/>
        <v/>
      </c>
    </row>
    <row r="108" spans="35:36" x14ac:dyDescent="0.25">
      <c r="AI108" t="s">
        <v>2748</v>
      </c>
      <c r="AJ108" s="3" t="str">
        <f t="shared" si="5"/>
        <v/>
      </c>
    </row>
    <row r="109" spans="35:36" x14ac:dyDescent="0.25">
      <c r="AI109" t="s">
        <v>2749</v>
      </c>
      <c r="AJ109" s="3" t="str">
        <f t="shared" ref="AJ109:AJ140" si="6">IF($AJ$7="Quote",IFERROR(VLOOKUP(AI109,$AF$7:$AG$240,2,FALSE),"Not included"),"")</f>
        <v/>
      </c>
    </row>
    <row r="110" spans="35:36" x14ac:dyDescent="0.25">
      <c r="AI110" t="s">
        <v>2750</v>
      </c>
      <c r="AJ110" s="3" t="str">
        <f t="shared" si="6"/>
        <v/>
      </c>
    </row>
    <row r="111" spans="35:36" x14ac:dyDescent="0.25">
      <c r="AI111" t="s">
        <v>2751</v>
      </c>
      <c r="AJ111" s="3" t="str">
        <f t="shared" si="6"/>
        <v/>
      </c>
    </row>
    <row r="112" spans="35:36" x14ac:dyDescent="0.25">
      <c r="AI112" t="s">
        <v>2752</v>
      </c>
      <c r="AJ112" s="3" t="str">
        <f t="shared" si="6"/>
        <v/>
      </c>
    </row>
    <row r="113" spans="35:36" x14ac:dyDescent="0.25">
      <c r="AI113" t="s">
        <v>2753</v>
      </c>
      <c r="AJ113" s="3" t="str">
        <f t="shared" si="6"/>
        <v/>
      </c>
    </row>
    <row r="114" spans="35:36" x14ac:dyDescent="0.25">
      <c r="AI114" t="s">
        <v>3446</v>
      </c>
      <c r="AJ114" s="3" t="str">
        <f t="shared" si="6"/>
        <v/>
      </c>
    </row>
    <row r="115" spans="35:36" x14ac:dyDescent="0.25">
      <c r="AI115" t="s">
        <v>2856</v>
      </c>
      <c r="AJ115" s="3" t="str">
        <f t="shared" si="6"/>
        <v/>
      </c>
    </row>
    <row r="116" spans="35:36" x14ac:dyDescent="0.25">
      <c r="AI116" t="s">
        <v>2754</v>
      </c>
      <c r="AJ116" s="3" t="str">
        <f t="shared" si="6"/>
        <v/>
      </c>
    </row>
    <row r="117" spans="35:36" x14ac:dyDescent="0.25">
      <c r="AI117" t="s">
        <v>2755</v>
      </c>
      <c r="AJ117" s="3" t="str">
        <f t="shared" si="6"/>
        <v/>
      </c>
    </row>
    <row r="118" spans="35:36" x14ac:dyDescent="0.25">
      <c r="AI118" t="s">
        <v>2756</v>
      </c>
      <c r="AJ118" s="3" t="str">
        <f t="shared" si="6"/>
        <v/>
      </c>
    </row>
    <row r="119" spans="35:36" x14ac:dyDescent="0.25">
      <c r="AI119" t="s">
        <v>3459</v>
      </c>
      <c r="AJ119" s="3" t="str">
        <f t="shared" si="6"/>
        <v/>
      </c>
    </row>
    <row r="120" spans="35:36" x14ac:dyDescent="0.25">
      <c r="AI120" t="s">
        <v>2758</v>
      </c>
      <c r="AJ120" s="3" t="str">
        <f t="shared" si="6"/>
        <v/>
      </c>
    </row>
    <row r="121" spans="35:36" x14ac:dyDescent="0.25">
      <c r="AI121" t="s">
        <v>2759</v>
      </c>
      <c r="AJ121" s="3" t="str">
        <f t="shared" si="6"/>
        <v/>
      </c>
    </row>
    <row r="122" spans="35:36" x14ac:dyDescent="0.25">
      <c r="AI122" t="s">
        <v>3460</v>
      </c>
      <c r="AJ122" s="3" t="str">
        <f t="shared" si="6"/>
        <v/>
      </c>
    </row>
    <row r="123" spans="35:36" x14ac:dyDescent="0.25">
      <c r="AI123" t="s">
        <v>3461</v>
      </c>
      <c r="AJ123" s="3" t="str">
        <f t="shared" si="6"/>
        <v/>
      </c>
    </row>
    <row r="124" spans="35:36" x14ac:dyDescent="0.25">
      <c r="AI124" t="s">
        <v>3054</v>
      </c>
      <c r="AJ124" s="3" t="str">
        <f t="shared" si="6"/>
        <v/>
      </c>
    </row>
    <row r="125" spans="35:36" x14ac:dyDescent="0.25">
      <c r="AI125" t="s">
        <v>2762</v>
      </c>
      <c r="AJ125" s="3" t="str">
        <f t="shared" si="6"/>
        <v/>
      </c>
    </row>
    <row r="126" spans="35:36" x14ac:dyDescent="0.25">
      <c r="AI126" t="s">
        <v>1110</v>
      </c>
      <c r="AJ126" s="3" t="str">
        <f t="shared" si="6"/>
        <v/>
      </c>
    </row>
    <row r="127" spans="35:36" x14ac:dyDescent="0.25">
      <c r="AI127" t="s">
        <v>2763</v>
      </c>
      <c r="AJ127" s="3" t="str">
        <f t="shared" si="6"/>
        <v/>
      </c>
    </row>
    <row r="128" spans="35:36" x14ac:dyDescent="0.25">
      <c r="AI128" t="s">
        <v>2764</v>
      </c>
      <c r="AJ128" s="3" t="str">
        <f t="shared" si="6"/>
        <v/>
      </c>
    </row>
    <row r="129" spans="35:36" x14ac:dyDescent="0.25">
      <c r="AI129" t="s">
        <v>2765</v>
      </c>
      <c r="AJ129" s="3" t="str">
        <f t="shared" si="6"/>
        <v/>
      </c>
    </row>
    <row r="130" spans="35:36" x14ac:dyDescent="0.25">
      <c r="AI130" t="s">
        <v>2766</v>
      </c>
      <c r="AJ130" s="3" t="str">
        <f t="shared" si="6"/>
        <v/>
      </c>
    </row>
    <row r="131" spans="35:36" x14ac:dyDescent="0.25">
      <c r="AI131" t="s">
        <v>2857</v>
      </c>
      <c r="AJ131" s="3" t="str">
        <f t="shared" si="6"/>
        <v/>
      </c>
    </row>
    <row r="132" spans="35:36" x14ac:dyDescent="0.25">
      <c r="AI132" t="s">
        <v>1236</v>
      </c>
      <c r="AJ132" s="3" t="str">
        <f t="shared" si="6"/>
        <v/>
      </c>
    </row>
    <row r="133" spans="35:36" x14ac:dyDescent="0.25">
      <c r="AI133" t="s">
        <v>1240</v>
      </c>
      <c r="AJ133" s="3" t="str">
        <f t="shared" si="6"/>
        <v/>
      </c>
    </row>
    <row r="134" spans="35:36" x14ac:dyDescent="0.25">
      <c r="AI134" t="s">
        <v>2859</v>
      </c>
      <c r="AJ134" s="3" t="str">
        <f t="shared" si="6"/>
        <v/>
      </c>
    </row>
    <row r="135" spans="35:36" x14ac:dyDescent="0.25">
      <c r="AI135" t="s">
        <v>2849</v>
      </c>
      <c r="AJ135" s="3" t="str">
        <f t="shared" si="6"/>
        <v/>
      </c>
    </row>
    <row r="136" spans="35:36" x14ac:dyDescent="0.25">
      <c r="AI136" t="s">
        <v>2854</v>
      </c>
      <c r="AJ136" s="3" t="str">
        <f t="shared" si="6"/>
        <v/>
      </c>
    </row>
    <row r="137" spans="35:36" x14ac:dyDescent="0.25">
      <c r="AI137" t="s">
        <v>2635</v>
      </c>
      <c r="AJ137" s="3" t="str">
        <f t="shared" si="6"/>
        <v/>
      </c>
    </row>
    <row r="138" spans="35:36" x14ac:dyDescent="0.25">
      <c r="AI138" t="s">
        <v>209</v>
      </c>
      <c r="AJ138" s="3" t="str">
        <f t="shared" si="6"/>
        <v/>
      </c>
    </row>
    <row r="139" spans="35:36" x14ac:dyDescent="0.25">
      <c r="AI139" t="s">
        <v>2767</v>
      </c>
      <c r="AJ139" s="3" t="str">
        <f t="shared" si="6"/>
        <v/>
      </c>
    </row>
    <row r="140" spans="35:36" x14ac:dyDescent="0.25">
      <c r="AI140" t="s">
        <v>2768</v>
      </c>
      <c r="AJ140" s="3" t="str">
        <f t="shared" si="6"/>
        <v/>
      </c>
    </row>
    <row r="141" spans="35:36" x14ac:dyDescent="0.25">
      <c r="AI141" t="s">
        <v>2769</v>
      </c>
      <c r="AJ141" s="3" t="str">
        <f t="shared" ref="AJ141:AJ172" si="7">IF($AJ$7="Quote",IFERROR(VLOOKUP(AI141,$AF$7:$AG$240,2,FALSE),"Not included"),"")</f>
        <v/>
      </c>
    </row>
    <row r="142" spans="35:36" x14ac:dyDescent="0.25">
      <c r="AI142" t="s">
        <v>2770</v>
      </c>
      <c r="AJ142" s="3" t="str">
        <f t="shared" si="7"/>
        <v/>
      </c>
    </row>
    <row r="143" spans="35:36" x14ac:dyDescent="0.25">
      <c r="AI143" t="s">
        <v>3024</v>
      </c>
      <c r="AJ143" s="3" t="str">
        <f t="shared" si="7"/>
        <v/>
      </c>
    </row>
    <row r="144" spans="35:36" x14ac:dyDescent="0.25">
      <c r="AI144" t="s">
        <v>2771</v>
      </c>
      <c r="AJ144" s="3" t="str">
        <f t="shared" si="7"/>
        <v/>
      </c>
    </row>
    <row r="145" spans="35:36" x14ac:dyDescent="0.25">
      <c r="AI145" t="s">
        <v>2772</v>
      </c>
      <c r="AJ145" s="3" t="str">
        <f t="shared" si="7"/>
        <v/>
      </c>
    </row>
    <row r="146" spans="35:36" x14ac:dyDescent="0.25">
      <c r="AI146" t="s">
        <v>2773</v>
      </c>
      <c r="AJ146" s="3" t="str">
        <f t="shared" si="7"/>
        <v/>
      </c>
    </row>
    <row r="147" spans="35:36" x14ac:dyDescent="0.25">
      <c r="AI147" t="s">
        <v>2855</v>
      </c>
      <c r="AJ147" s="3" t="str">
        <f t="shared" si="7"/>
        <v/>
      </c>
    </row>
    <row r="148" spans="35:36" x14ac:dyDescent="0.25">
      <c r="AI148" t="s">
        <v>2774</v>
      </c>
      <c r="AJ148" s="3" t="str">
        <f t="shared" si="7"/>
        <v/>
      </c>
    </row>
    <row r="149" spans="35:36" x14ac:dyDescent="0.25">
      <c r="AI149" t="s">
        <v>2775</v>
      </c>
      <c r="AJ149" s="3" t="str">
        <f t="shared" si="7"/>
        <v/>
      </c>
    </row>
    <row r="150" spans="35:36" x14ac:dyDescent="0.25">
      <c r="AI150" t="s">
        <v>2776</v>
      </c>
      <c r="AJ150" s="3" t="str">
        <f t="shared" si="7"/>
        <v/>
      </c>
    </row>
    <row r="151" spans="35:36" x14ac:dyDescent="0.25">
      <c r="AI151" t="s">
        <v>1155</v>
      </c>
      <c r="AJ151" s="3" t="str">
        <f t="shared" si="7"/>
        <v/>
      </c>
    </row>
    <row r="152" spans="35:36" x14ac:dyDescent="0.25">
      <c r="AI152" t="s">
        <v>2777</v>
      </c>
      <c r="AJ152" s="3" t="str">
        <f t="shared" si="7"/>
        <v/>
      </c>
    </row>
    <row r="153" spans="35:36" x14ac:dyDescent="0.25">
      <c r="AI153" t="s">
        <v>2778</v>
      </c>
      <c r="AJ153" s="3" t="str">
        <f t="shared" si="7"/>
        <v/>
      </c>
    </row>
    <row r="154" spans="35:36" x14ac:dyDescent="0.25">
      <c r="AI154" t="s">
        <v>2779</v>
      </c>
      <c r="AJ154" s="3" t="str">
        <f t="shared" si="7"/>
        <v/>
      </c>
    </row>
    <row r="155" spans="35:36" x14ac:dyDescent="0.25">
      <c r="AI155" t="s">
        <v>3025</v>
      </c>
      <c r="AJ155" s="3" t="str">
        <f t="shared" si="7"/>
        <v/>
      </c>
    </row>
    <row r="156" spans="35:36" x14ac:dyDescent="0.25">
      <c r="AI156" t="s">
        <v>3026</v>
      </c>
      <c r="AJ156" s="3" t="str">
        <f t="shared" si="7"/>
        <v/>
      </c>
    </row>
    <row r="157" spans="35:36" x14ac:dyDescent="0.25">
      <c r="AI157" t="s">
        <v>3027</v>
      </c>
      <c r="AJ157" s="3" t="str">
        <f t="shared" si="7"/>
        <v/>
      </c>
    </row>
    <row r="158" spans="35:36" x14ac:dyDescent="0.25">
      <c r="AI158" t="s">
        <v>3028</v>
      </c>
      <c r="AJ158" s="3" t="str">
        <f t="shared" si="7"/>
        <v/>
      </c>
    </row>
    <row r="159" spans="35:36" x14ac:dyDescent="0.25">
      <c r="AI159" t="s">
        <v>3029</v>
      </c>
      <c r="AJ159" s="3" t="str">
        <f t="shared" si="7"/>
        <v/>
      </c>
    </row>
    <row r="160" spans="35:36" x14ac:dyDescent="0.25">
      <c r="AI160" t="s">
        <v>3030</v>
      </c>
      <c r="AJ160" s="3" t="str">
        <f t="shared" si="7"/>
        <v/>
      </c>
    </row>
    <row r="161" spans="35:36" x14ac:dyDescent="0.25">
      <c r="AI161" t="s">
        <v>3031</v>
      </c>
      <c r="AJ161" s="3" t="str">
        <f t="shared" si="7"/>
        <v/>
      </c>
    </row>
    <row r="162" spans="35:36" x14ac:dyDescent="0.25">
      <c r="AI162" t="s">
        <v>3032</v>
      </c>
      <c r="AJ162" s="3" t="str">
        <f t="shared" si="7"/>
        <v/>
      </c>
    </row>
    <row r="163" spans="35:36" x14ac:dyDescent="0.25">
      <c r="AI163" t="s">
        <v>3033</v>
      </c>
      <c r="AJ163" s="3" t="str">
        <f t="shared" si="7"/>
        <v/>
      </c>
    </row>
    <row r="164" spans="35:36" x14ac:dyDescent="0.25">
      <c r="AI164" t="s">
        <v>3034</v>
      </c>
      <c r="AJ164" s="3" t="str">
        <f t="shared" si="7"/>
        <v/>
      </c>
    </row>
    <row r="165" spans="35:36" x14ac:dyDescent="0.25">
      <c r="AI165" t="s">
        <v>3035</v>
      </c>
      <c r="AJ165" s="3" t="str">
        <f t="shared" si="7"/>
        <v/>
      </c>
    </row>
    <row r="166" spans="35:36" x14ac:dyDescent="0.25">
      <c r="AI166" t="s">
        <v>3036</v>
      </c>
      <c r="AJ166" s="3" t="str">
        <f t="shared" si="7"/>
        <v/>
      </c>
    </row>
    <row r="167" spans="35:36" x14ac:dyDescent="0.25">
      <c r="AI167" t="s">
        <v>3037</v>
      </c>
      <c r="AJ167" s="3" t="str">
        <f t="shared" si="7"/>
        <v/>
      </c>
    </row>
    <row r="168" spans="35:36" x14ac:dyDescent="0.25">
      <c r="AI168" t="s">
        <v>3038</v>
      </c>
      <c r="AJ168" s="3" t="str">
        <f t="shared" si="7"/>
        <v/>
      </c>
    </row>
    <row r="169" spans="35:36" x14ac:dyDescent="0.25">
      <c r="AI169" t="s">
        <v>3039</v>
      </c>
      <c r="AJ169" s="3" t="str">
        <f t="shared" si="7"/>
        <v/>
      </c>
    </row>
    <row r="170" spans="35:36" x14ac:dyDescent="0.25">
      <c r="AI170" t="s">
        <v>3040</v>
      </c>
      <c r="AJ170" s="3" t="str">
        <f t="shared" si="7"/>
        <v/>
      </c>
    </row>
    <row r="171" spans="35:36" x14ac:dyDescent="0.25">
      <c r="AI171" t="s">
        <v>3041</v>
      </c>
      <c r="AJ171" s="3" t="str">
        <f t="shared" si="7"/>
        <v/>
      </c>
    </row>
    <row r="172" spans="35:36" x14ac:dyDescent="0.25">
      <c r="AI172" t="s">
        <v>3042</v>
      </c>
      <c r="AJ172" s="3" t="str">
        <f t="shared" si="7"/>
        <v/>
      </c>
    </row>
    <row r="173" spans="35:36" x14ac:dyDescent="0.25">
      <c r="AI173" t="s">
        <v>3043</v>
      </c>
      <c r="AJ173" s="3" t="str">
        <f t="shared" ref="AJ173:AJ201" si="8">IF($AJ$7="Quote",IFERROR(VLOOKUP(AI173,$AF$7:$AG$240,2,FALSE),"Not included"),"")</f>
        <v/>
      </c>
    </row>
    <row r="174" spans="35:36" x14ac:dyDescent="0.25">
      <c r="AI174" t="s">
        <v>3044</v>
      </c>
      <c r="AJ174" s="3" t="str">
        <f t="shared" si="8"/>
        <v/>
      </c>
    </row>
    <row r="175" spans="35:36" x14ac:dyDescent="0.25">
      <c r="AI175" t="s">
        <v>3045</v>
      </c>
      <c r="AJ175" s="3" t="str">
        <f t="shared" si="8"/>
        <v/>
      </c>
    </row>
    <row r="176" spans="35:36" x14ac:dyDescent="0.25">
      <c r="AI176" t="s">
        <v>3046</v>
      </c>
      <c r="AJ176" s="3" t="str">
        <f t="shared" si="8"/>
        <v/>
      </c>
    </row>
    <row r="177" spans="35:36" x14ac:dyDescent="0.25">
      <c r="AI177" t="s">
        <v>2508</v>
      </c>
      <c r="AJ177" s="3" t="str">
        <f t="shared" si="8"/>
        <v/>
      </c>
    </row>
    <row r="178" spans="35:36" x14ac:dyDescent="0.25">
      <c r="AI178" t="s">
        <v>3047</v>
      </c>
      <c r="AJ178" s="3" t="str">
        <f t="shared" si="8"/>
        <v/>
      </c>
    </row>
    <row r="179" spans="35:36" x14ac:dyDescent="0.25">
      <c r="AI179" t="s">
        <v>3048</v>
      </c>
      <c r="AJ179" s="3" t="str">
        <f t="shared" si="8"/>
        <v/>
      </c>
    </row>
    <row r="180" spans="35:36" x14ac:dyDescent="0.25">
      <c r="AI180" t="s">
        <v>3049</v>
      </c>
      <c r="AJ180" s="3" t="str">
        <f t="shared" si="8"/>
        <v/>
      </c>
    </row>
    <row r="181" spans="35:36" x14ac:dyDescent="0.25">
      <c r="AI181" t="s">
        <v>3050</v>
      </c>
      <c r="AJ181" s="3" t="str">
        <f t="shared" si="8"/>
        <v/>
      </c>
    </row>
    <row r="182" spans="35:36" x14ac:dyDescent="0.25">
      <c r="AI182" t="s">
        <v>3051</v>
      </c>
      <c r="AJ182" s="3" t="str">
        <f t="shared" si="8"/>
        <v/>
      </c>
    </row>
    <row r="183" spans="35:36" x14ac:dyDescent="0.25">
      <c r="AI183" t="s">
        <v>3052</v>
      </c>
      <c r="AJ183" s="3" t="str">
        <f t="shared" si="8"/>
        <v/>
      </c>
    </row>
    <row r="184" spans="35:36" x14ac:dyDescent="0.25">
      <c r="AI184" t="s">
        <v>3053</v>
      </c>
      <c r="AJ184" s="3" t="str">
        <f t="shared" si="8"/>
        <v/>
      </c>
    </row>
    <row r="185" spans="35:36" x14ac:dyDescent="0.25">
      <c r="AI185" t="s">
        <v>2780</v>
      </c>
      <c r="AJ185" s="3" t="str">
        <f t="shared" si="8"/>
        <v/>
      </c>
    </row>
    <row r="186" spans="35:36" x14ac:dyDescent="0.25">
      <c r="AI186" t="s">
        <v>2781</v>
      </c>
      <c r="AJ186" s="3" t="str">
        <f t="shared" si="8"/>
        <v/>
      </c>
    </row>
    <row r="187" spans="35:36" x14ac:dyDescent="0.25">
      <c r="AI187" t="s">
        <v>2782</v>
      </c>
      <c r="AJ187" s="3" t="str">
        <f t="shared" si="8"/>
        <v/>
      </c>
    </row>
    <row r="188" spans="35:36" x14ac:dyDescent="0.25">
      <c r="AI188" t="s">
        <v>2783</v>
      </c>
      <c r="AJ188" s="3" t="str">
        <f t="shared" si="8"/>
        <v/>
      </c>
    </row>
    <row r="189" spans="35:36" x14ac:dyDescent="0.25">
      <c r="AI189" t="s">
        <v>2784</v>
      </c>
      <c r="AJ189" s="3" t="str">
        <f t="shared" si="8"/>
        <v/>
      </c>
    </row>
    <row r="190" spans="35:36" x14ac:dyDescent="0.25">
      <c r="AI190" t="s">
        <v>2785</v>
      </c>
      <c r="AJ190" s="3" t="str">
        <f t="shared" si="8"/>
        <v/>
      </c>
    </row>
    <row r="191" spans="35:36" x14ac:dyDescent="0.25">
      <c r="AI191" t="s">
        <v>2786</v>
      </c>
      <c r="AJ191" s="3" t="str">
        <f t="shared" si="8"/>
        <v/>
      </c>
    </row>
    <row r="192" spans="35:36" x14ac:dyDescent="0.25">
      <c r="AI192" t="s">
        <v>2787</v>
      </c>
      <c r="AJ192" s="3" t="str">
        <f t="shared" si="8"/>
        <v/>
      </c>
    </row>
    <row r="193" spans="35:36" x14ac:dyDescent="0.25">
      <c r="AI193" t="s">
        <v>3448</v>
      </c>
      <c r="AJ193" s="3" t="str">
        <f t="shared" si="8"/>
        <v/>
      </c>
    </row>
    <row r="194" spans="35:36" x14ac:dyDescent="0.25">
      <c r="AI194" t="s">
        <v>3449</v>
      </c>
      <c r="AJ194" s="3" t="str">
        <f t="shared" si="8"/>
        <v/>
      </c>
    </row>
    <row r="195" spans="35:36" x14ac:dyDescent="0.25">
      <c r="AI195" t="s">
        <v>3450</v>
      </c>
      <c r="AJ195" s="3" t="str">
        <f t="shared" si="8"/>
        <v/>
      </c>
    </row>
    <row r="196" spans="35:36" x14ac:dyDescent="0.25">
      <c r="AI196" t="s">
        <v>3451</v>
      </c>
      <c r="AJ196" s="3" t="str">
        <f t="shared" si="8"/>
        <v/>
      </c>
    </row>
    <row r="197" spans="35:36" x14ac:dyDescent="0.25">
      <c r="AI197" t="s">
        <v>3452</v>
      </c>
      <c r="AJ197" s="3" t="str">
        <f t="shared" si="8"/>
        <v/>
      </c>
    </row>
    <row r="198" spans="35:36" x14ac:dyDescent="0.25">
      <c r="AI198" t="s">
        <v>3453</v>
      </c>
      <c r="AJ198" s="3" t="str">
        <f t="shared" si="8"/>
        <v/>
      </c>
    </row>
    <row r="199" spans="35:36" x14ac:dyDescent="0.25">
      <c r="AI199" t="s">
        <v>3454</v>
      </c>
      <c r="AJ199" s="3" t="str">
        <f t="shared" si="8"/>
        <v/>
      </c>
    </row>
    <row r="200" spans="35:36" x14ac:dyDescent="0.25">
      <c r="AI200" t="s">
        <v>3455</v>
      </c>
      <c r="AJ200" s="3" t="str">
        <f t="shared" si="8"/>
        <v/>
      </c>
    </row>
    <row r="201" spans="35:36" x14ac:dyDescent="0.25">
      <c r="AI201" t="s">
        <v>3456</v>
      </c>
      <c r="AJ201" s="3" t="str">
        <f t="shared" si="8"/>
        <v/>
      </c>
    </row>
  </sheetData>
  <dataConsolidate/>
  <mergeCells count="3">
    <mergeCell ref="P3:V3"/>
    <mergeCell ref="A3:E3"/>
    <mergeCell ref="F3:O3"/>
  </mergeCells>
  <hyperlinks>
    <hyperlink ref="BB16" location="FloodInstructions!A1" display="Flood Instructions" xr:uid="{00000000-0004-0000-0300-000000000000}"/>
    <hyperlink ref="BB37" location="FloodInstructions!A1" display="Flood Instructions" xr:uid="{00000000-0004-0000-0300-000001000000}"/>
    <hyperlink ref="BB48" location="FloodInstructions!A1" display="Flood Instructions" xr:uid="{00000000-0004-0000-0300-000002000000}"/>
  </hyperlinks>
  <pageMargins left="0.7" right="0.7" top="0.75" bottom="0.75" header="0.3" footer="0.3"/>
  <legacyDrawing r:id="rId1"/>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300-000000000000}">
          <x14:formula1>
            <xm:f>List!$B$1:$B$2</xm:f>
          </x14:formula1>
          <xm:sqref>D5</xm:sqref>
        </x14:dataValidation>
        <x14:dataValidation type="list" allowBlank="1" showInputMessage="1" showErrorMessage="1" xr:uid="{00000000-0002-0000-0300-000001000000}">
          <x14:formula1>
            <xm:f>List!$B$4:$B$9</xm:f>
          </x14:formula1>
          <xm:sqref>E5</xm:sqref>
        </x14:dataValidation>
        <x14:dataValidation type="list" allowBlank="1" showInputMessage="1" showErrorMessage="1" xr:uid="{00000000-0002-0000-0300-000002000000}">
          <x14:formula1>
            <xm:f>List!$C$1:$C$2</xm:f>
          </x14:formula1>
          <xm:sqref>D16</xm:sqref>
        </x14:dataValidation>
        <x14:dataValidation type="list" allowBlank="1" showInputMessage="1" showErrorMessage="1" xr:uid="{00000000-0002-0000-0300-000003000000}">
          <x14:formula1>
            <xm:f>List!$C$4:$C$8</xm:f>
          </x14:formula1>
          <xm:sqref>E16</xm:sqref>
        </x14:dataValidation>
        <x14:dataValidation type="list" allowBlank="1" showInputMessage="1" showErrorMessage="1" xr:uid="{00000000-0002-0000-0300-000004000000}">
          <x14:formula1>
            <xm:f>List!$M$1:$M$16</xm:f>
          </x14:formula1>
          <xm:sqref>E25</xm:sqref>
        </x14:dataValidation>
        <x14:dataValidation type="list" allowBlank="1" showInputMessage="1" showErrorMessage="1" xr:uid="{00000000-0002-0000-0300-000005000000}">
          <x14:formula1>
            <xm:f>List!$P$1:$P$6</xm:f>
          </x14:formula1>
          <xm:sqref>D37</xm:sqref>
        </x14:dataValidation>
        <x14:dataValidation type="list" allowBlank="1" showInputMessage="1" showErrorMessage="1" xr:uid="{00000000-0002-0000-0300-000006000000}">
          <x14:formula1>
            <xm:f>List!$Q$1:$Q$6</xm:f>
          </x14:formula1>
          <xm:sqref>E37</xm:sqref>
        </x14:dataValidation>
        <x14:dataValidation type="list" allowBlank="1" showInputMessage="1" showErrorMessage="1" xr:uid="{00000000-0002-0000-0300-000007000000}">
          <x14:formula1>
            <xm:f>List!$R$1:$R$3</xm:f>
          </x14:formula1>
          <xm:sqref>W37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0000"/>
  </sheetPr>
  <dimension ref="A1:BQ27"/>
  <sheetViews>
    <sheetView workbookViewId="0">
      <pane xSplit="1" ySplit="3" topLeftCell="B4" activePane="bottomRight" state="frozen"/>
      <selection pane="topRight" activeCell="B1" sqref="B1"/>
      <selection pane="bottomLeft" activeCell="A4" sqref="A4"/>
      <selection pane="bottomRight" activeCell="H4" sqref="H4"/>
    </sheetView>
  </sheetViews>
  <sheetFormatPr defaultColWidth="9.140625" defaultRowHeight="15" x14ac:dyDescent="0.25"/>
  <cols>
    <col min="1" max="1" width="21.28515625" style="1" customWidth="1"/>
    <col min="2" max="2" width="50.28515625" style="1" customWidth="1"/>
    <col min="3" max="4" width="13.42578125" style="1" customWidth="1"/>
    <col min="5" max="16" width="9.140625" style="1"/>
    <col min="17" max="18" width="14.28515625" style="1" customWidth="1"/>
    <col min="19" max="19" width="12.5703125" style="1" customWidth="1"/>
    <col min="20" max="20" width="11.85546875" style="1" customWidth="1"/>
    <col min="21" max="22" width="9.140625" style="1"/>
    <col min="23" max="23" width="29.28515625" style="1" customWidth="1"/>
    <col min="24" max="24" width="12.7109375" style="1" customWidth="1"/>
    <col min="25" max="30" width="9.140625" style="1"/>
    <col min="31" max="34" width="10.7109375" style="1" customWidth="1"/>
    <col min="35" max="43" width="9.140625" style="1"/>
    <col min="44" max="44" width="31.7109375" style="1" customWidth="1"/>
    <col min="45" max="45" width="28.7109375" style="1" customWidth="1"/>
    <col min="46" max="48" width="9.140625" style="1"/>
    <col min="49" max="49" width="21.7109375" style="1" customWidth="1"/>
    <col min="50" max="50" width="18.7109375" style="1" customWidth="1"/>
    <col min="51" max="51" width="22.85546875" style="1" customWidth="1"/>
    <col min="52" max="52" width="26.42578125" style="1" customWidth="1"/>
    <col min="53" max="68" width="9.140625" style="1"/>
    <col min="69" max="69" width="34.5703125" style="1" customWidth="1"/>
    <col min="70" max="16384" width="9.140625" style="1"/>
  </cols>
  <sheetData>
    <row r="1" spans="1:69" ht="15.75" x14ac:dyDescent="0.25">
      <c r="A1" s="529" t="s">
        <v>101</v>
      </c>
      <c r="B1" s="529"/>
      <c r="C1" s="529"/>
      <c r="D1" s="529"/>
      <c r="E1" s="529"/>
      <c r="F1" s="529"/>
      <c r="G1" s="529"/>
      <c r="H1" s="529"/>
      <c r="I1" s="529"/>
      <c r="J1" s="529"/>
      <c r="K1" s="529"/>
      <c r="L1" s="529"/>
      <c r="M1" s="529"/>
      <c r="N1" s="529"/>
      <c r="O1" s="529"/>
      <c r="P1" s="529"/>
      <c r="Q1" s="529"/>
      <c r="R1" s="529"/>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row>
    <row r="2" spans="1:69" x14ac:dyDescent="0.25">
      <c r="A2" s="81" t="s">
        <v>19</v>
      </c>
      <c r="B2" s="81"/>
      <c r="C2" s="81"/>
      <c r="D2" s="81"/>
      <c r="E2" s="81"/>
      <c r="F2" s="81"/>
      <c r="G2" s="81"/>
      <c r="H2" s="81"/>
      <c r="I2" s="81"/>
      <c r="J2" s="81"/>
      <c r="K2" s="81"/>
      <c r="L2" s="81"/>
      <c r="M2" s="81"/>
      <c r="N2" s="81"/>
      <c r="O2" s="528" t="s">
        <v>25</v>
      </c>
      <c r="P2" s="528"/>
      <c r="Q2" s="528"/>
      <c r="R2" s="528"/>
      <c r="S2" s="528"/>
      <c r="T2" s="528"/>
      <c r="U2" s="530" t="s">
        <v>41</v>
      </c>
      <c r="V2" s="530"/>
      <c r="W2" s="530"/>
      <c r="X2" s="530"/>
      <c r="Y2" s="530"/>
      <c r="Z2" s="530"/>
      <c r="AA2" s="530"/>
      <c r="AB2" s="530"/>
      <c r="AC2" s="530"/>
      <c r="AD2" s="530"/>
      <c r="AE2" s="530"/>
      <c r="AF2" s="530"/>
      <c r="AG2" s="530"/>
      <c r="AH2" s="530"/>
      <c r="AI2" s="530"/>
      <c r="AJ2" s="530"/>
      <c r="AK2" s="530"/>
      <c r="AL2" s="530"/>
      <c r="AM2" s="530"/>
      <c r="AN2" s="530"/>
      <c r="AO2" s="530"/>
      <c r="AP2" s="530"/>
      <c r="AQ2" s="530"/>
      <c r="AR2" s="2"/>
      <c r="AS2" s="81" t="s">
        <v>40</v>
      </c>
      <c r="AT2" s="81"/>
      <c r="AU2" s="81"/>
      <c r="AV2" s="81"/>
      <c r="AW2" s="81"/>
      <c r="AX2" s="81"/>
      <c r="AY2" s="81"/>
      <c r="AZ2" s="81"/>
      <c r="BA2" s="81"/>
      <c r="BB2" s="81"/>
      <c r="BC2" s="81"/>
      <c r="BD2" s="81"/>
      <c r="BE2" s="81"/>
      <c r="BF2" s="81"/>
      <c r="BG2" s="81"/>
      <c r="BH2" s="81"/>
      <c r="BI2" s="81"/>
      <c r="BJ2" s="81"/>
      <c r="BK2" s="81"/>
      <c r="BL2" s="81"/>
      <c r="BM2" s="81"/>
      <c r="BN2" s="81"/>
      <c r="BO2" s="81"/>
      <c r="BP2" s="81"/>
      <c r="BQ2" s="2"/>
    </row>
    <row r="3" spans="1:69" ht="150" x14ac:dyDescent="0.25">
      <c r="A3" s="103" t="s">
        <v>9</v>
      </c>
      <c r="B3" s="103" t="s">
        <v>379</v>
      </c>
      <c r="C3" s="273" t="s">
        <v>349</v>
      </c>
      <c r="D3" s="273" t="s">
        <v>350</v>
      </c>
      <c r="E3" s="273" t="s">
        <v>1</v>
      </c>
      <c r="F3" s="273" t="s">
        <v>5</v>
      </c>
      <c r="G3" s="110" t="s">
        <v>384</v>
      </c>
      <c r="H3" s="110" t="s">
        <v>385</v>
      </c>
      <c r="I3" s="104" t="s">
        <v>422</v>
      </c>
      <c r="J3" s="103" t="s">
        <v>97</v>
      </c>
      <c r="K3" s="105" t="s">
        <v>129</v>
      </c>
      <c r="L3" s="106" t="s">
        <v>386</v>
      </c>
      <c r="M3" s="103" t="s">
        <v>98</v>
      </c>
      <c r="N3" s="107" t="s">
        <v>110</v>
      </c>
      <c r="O3" s="273" t="s">
        <v>13</v>
      </c>
      <c r="P3" s="273" t="s">
        <v>14</v>
      </c>
      <c r="Q3" s="273" t="s">
        <v>15</v>
      </c>
      <c r="R3" s="273" t="s">
        <v>16</v>
      </c>
      <c r="S3" s="273" t="s">
        <v>11</v>
      </c>
      <c r="T3" s="273" t="s">
        <v>12</v>
      </c>
      <c r="U3" s="273" t="s">
        <v>20</v>
      </c>
      <c r="V3" s="273" t="s">
        <v>21</v>
      </c>
      <c r="W3" s="273" t="s">
        <v>425</v>
      </c>
      <c r="X3" s="273" t="s">
        <v>121</v>
      </c>
      <c r="Y3" s="273" t="s">
        <v>28</v>
      </c>
      <c r="Z3" s="273" t="s">
        <v>29</v>
      </c>
      <c r="AA3" s="273" t="s">
        <v>30</v>
      </c>
      <c r="AB3" s="273" t="s">
        <v>31</v>
      </c>
      <c r="AC3" s="273" t="s">
        <v>389</v>
      </c>
      <c r="AD3" s="273" t="s">
        <v>390</v>
      </c>
      <c r="AE3" s="273" t="s">
        <v>391</v>
      </c>
      <c r="AF3" s="273" t="s">
        <v>396</v>
      </c>
      <c r="AG3" s="273" t="s">
        <v>401</v>
      </c>
      <c r="AH3" s="109" t="s">
        <v>402</v>
      </c>
      <c r="AI3" s="273" t="s">
        <v>32</v>
      </c>
      <c r="AJ3" s="273" t="s">
        <v>33</v>
      </c>
      <c r="AK3" s="109" t="s">
        <v>222</v>
      </c>
      <c r="AL3" s="273" t="s">
        <v>34</v>
      </c>
      <c r="AM3" s="273" t="s">
        <v>35</v>
      </c>
      <c r="AN3" s="273" t="s">
        <v>36</v>
      </c>
      <c r="AO3" s="273" t="s">
        <v>37</v>
      </c>
      <c r="AP3" s="273" t="s">
        <v>38</v>
      </c>
      <c r="AQ3" s="273" t="s">
        <v>39</v>
      </c>
      <c r="AR3" s="110" t="s">
        <v>137</v>
      </c>
      <c r="AS3" s="108" t="s">
        <v>90</v>
      </c>
      <c r="AT3" s="108" t="s">
        <v>50</v>
      </c>
      <c r="AU3" s="108" t="s">
        <v>52</v>
      </c>
      <c r="AV3" s="108" t="s">
        <v>53</v>
      </c>
      <c r="AW3" s="111" t="s">
        <v>296</v>
      </c>
      <c r="AX3" s="111" t="s">
        <v>229</v>
      </c>
      <c r="AY3" s="107" t="s">
        <v>112</v>
      </c>
      <c r="AZ3" s="107" t="s">
        <v>117</v>
      </c>
      <c r="BA3" s="111" t="s">
        <v>55</v>
      </c>
      <c r="BB3" s="111" t="s">
        <v>56</v>
      </c>
      <c r="BC3" s="111" t="s">
        <v>57</v>
      </c>
      <c r="BD3" s="111" t="s">
        <v>58</v>
      </c>
      <c r="BE3" s="111" t="s">
        <v>59</v>
      </c>
      <c r="BF3" s="111" t="s">
        <v>60</v>
      </c>
      <c r="BG3" s="111" t="s">
        <v>61</v>
      </c>
      <c r="BH3" s="111" t="s">
        <v>62</v>
      </c>
      <c r="BI3" s="111" t="s">
        <v>80</v>
      </c>
      <c r="BJ3" s="108" t="s">
        <v>81</v>
      </c>
      <c r="BK3" s="111" t="s">
        <v>82</v>
      </c>
      <c r="BL3" s="108" t="s">
        <v>83</v>
      </c>
      <c r="BM3" s="111" t="s">
        <v>84</v>
      </c>
      <c r="BN3" s="108" t="s">
        <v>85</v>
      </c>
      <c r="BO3" s="111" t="s">
        <v>86</v>
      </c>
      <c r="BP3" s="108" t="s">
        <v>87</v>
      </c>
      <c r="BQ3" s="112" t="s">
        <v>22</v>
      </c>
    </row>
    <row r="4" spans="1:69" ht="195" x14ac:dyDescent="0.25">
      <c r="A4" s="101" t="s">
        <v>347</v>
      </c>
      <c r="B4" s="113" t="s">
        <v>383</v>
      </c>
      <c r="C4" s="114">
        <v>575</v>
      </c>
      <c r="D4" s="114">
        <v>625</v>
      </c>
      <c r="E4" s="102" t="s">
        <v>2</v>
      </c>
      <c r="F4" s="2" t="s">
        <v>6</v>
      </c>
      <c r="G4" s="2">
        <v>0.1</v>
      </c>
      <c r="H4" s="2">
        <v>0.4</v>
      </c>
      <c r="I4" s="2" t="s">
        <v>423</v>
      </c>
      <c r="J4" s="2" t="s">
        <v>100</v>
      </c>
      <c r="K4" s="2" t="s">
        <v>131</v>
      </c>
      <c r="L4" s="99" t="s">
        <v>387</v>
      </c>
      <c r="M4" s="2" t="s">
        <v>109</v>
      </c>
      <c r="N4" s="2" t="s">
        <v>111</v>
      </c>
      <c r="O4" s="2">
        <v>0.05</v>
      </c>
      <c r="P4" s="2">
        <v>0.05</v>
      </c>
      <c r="Q4" s="2">
        <v>0.05</v>
      </c>
      <c r="R4" s="2">
        <v>0.1</v>
      </c>
      <c r="S4" s="2">
        <v>0.05</v>
      </c>
      <c r="T4" s="2">
        <v>0.12</v>
      </c>
      <c r="U4" s="2">
        <f>G4*0.75</f>
        <v>7.5000000000000011E-2</v>
      </c>
      <c r="V4" s="2">
        <f>G4</f>
        <v>0.1</v>
      </c>
      <c r="W4" s="2">
        <f>G4</f>
        <v>0.1</v>
      </c>
      <c r="X4" s="9">
        <v>25</v>
      </c>
      <c r="Y4" s="9">
        <v>75</v>
      </c>
      <c r="Z4" s="9">
        <v>100</v>
      </c>
      <c r="AA4" s="9">
        <v>150</v>
      </c>
      <c r="AB4" s="9">
        <v>175</v>
      </c>
      <c r="AC4" s="9">
        <v>50</v>
      </c>
      <c r="AD4" s="9">
        <v>75</v>
      </c>
      <c r="AE4" s="2" t="s">
        <v>392</v>
      </c>
      <c r="AF4" s="2" t="s">
        <v>397</v>
      </c>
      <c r="AG4" s="9">
        <v>150</v>
      </c>
      <c r="AH4" s="9" t="s">
        <v>403</v>
      </c>
      <c r="AI4" s="2">
        <v>50</v>
      </c>
      <c r="AJ4" s="2">
        <v>100</v>
      </c>
      <c r="AK4" s="2" t="s">
        <v>221</v>
      </c>
      <c r="AL4" s="2">
        <v>25</v>
      </c>
      <c r="AM4" s="2">
        <v>50</v>
      </c>
      <c r="AN4" s="2">
        <v>75</v>
      </c>
      <c r="AO4" s="2">
        <v>125</v>
      </c>
      <c r="AP4" s="2">
        <v>150</v>
      </c>
      <c r="AQ4" s="2">
        <v>50</v>
      </c>
      <c r="AR4" s="2" t="s">
        <v>409</v>
      </c>
      <c r="AS4" s="2">
        <v>0.05</v>
      </c>
      <c r="AT4" s="2" t="s">
        <v>47</v>
      </c>
      <c r="AU4" s="2">
        <v>75</v>
      </c>
      <c r="AV4" s="2">
        <v>150</v>
      </c>
      <c r="AW4" s="115" t="s">
        <v>295</v>
      </c>
      <c r="AX4" s="2" t="s">
        <v>405</v>
      </c>
      <c r="AY4" s="2" t="s">
        <v>113</v>
      </c>
      <c r="AZ4" s="2" t="s">
        <v>120</v>
      </c>
      <c r="BA4" s="9" t="s">
        <v>63</v>
      </c>
      <c r="BB4" s="9" t="s">
        <v>64</v>
      </c>
      <c r="BC4" s="9" t="s">
        <v>65</v>
      </c>
      <c r="BD4" s="9" t="s">
        <v>67</v>
      </c>
      <c r="BE4" s="9" t="s">
        <v>68</v>
      </c>
      <c r="BF4" s="9" t="s">
        <v>69</v>
      </c>
      <c r="BG4" s="9" t="s">
        <v>70</v>
      </c>
      <c r="BH4" s="9" t="s">
        <v>66</v>
      </c>
      <c r="BI4" s="9">
        <v>2500</v>
      </c>
      <c r="BJ4" s="9">
        <v>321</v>
      </c>
      <c r="BK4" s="9">
        <v>2500</v>
      </c>
      <c r="BL4" s="9" t="s">
        <v>46</v>
      </c>
      <c r="BM4" s="9">
        <v>1000</v>
      </c>
      <c r="BN4" s="9">
        <v>82</v>
      </c>
      <c r="BO4" s="9">
        <v>1000</v>
      </c>
      <c r="BP4" s="9">
        <v>114</v>
      </c>
      <c r="BQ4" s="2"/>
    </row>
    <row r="5" spans="1:69" ht="225" x14ac:dyDescent="0.25">
      <c r="A5" s="101" t="s">
        <v>347</v>
      </c>
      <c r="B5" s="102"/>
      <c r="C5" s="102"/>
      <c r="D5" s="102"/>
      <c r="E5" s="102" t="s">
        <v>3</v>
      </c>
      <c r="F5" s="2" t="s">
        <v>6</v>
      </c>
      <c r="G5" s="2">
        <v>0.15</v>
      </c>
      <c r="H5" s="2">
        <v>0.5</v>
      </c>
      <c r="I5" s="2"/>
      <c r="J5" s="2" t="s">
        <v>108</v>
      </c>
      <c r="K5" s="2" t="s">
        <v>132</v>
      </c>
      <c r="L5" s="99" t="s">
        <v>388</v>
      </c>
      <c r="M5" s="2"/>
      <c r="N5" s="2"/>
      <c r="O5" s="2"/>
      <c r="P5" s="2"/>
      <c r="Q5" s="2"/>
      <c r="R5" s="2"/>
      <c r="S5" s="2"/>
      <c r="T5" s="2"/>
      <c r="U5" s="2">
        <f t="shared" ref="U5:U12" si="0">G5*0.75</f>
        <v>0.11249999999999999</v>
      </c>
      <c r="V5" s="2">
        <f t="shared" ref="V5:V12" si="1">G5</f>
        <v>0.15</v>
      </c>
      <c r="W5" s="2">
        <f t="shared" ref="W5:W12" si="2">G5</f>
        <v>0.15</v>
      </c>
      <c r="X5" s="2"/>
      <c r="Y5" s="2"/>
      <c r="Z5" s="2"/>
      <c r="AA5" s="2"/>
      <c r="AB5" s="2"/>
      <c r="AC5" s="2"/>
      <c r="AD5" s="2"/>
      <c r="AE5" s="2" t="s">
        <v>393</v>
      </c>
      <c r="AF5" s="2" t="s">
        <v>398</v>
      </c>
      <c r="AG5" s="2" t="s">
        <v>432</v>
      </c>
      <c r="AH5" s="2" t="s">
        <v>404</v>
      </c>
      <c r="AI5" s="2"/>
      <c r="AJ5" s="2"/>
      <c r="AK5" s="2"/>
      <c r="AL5" s="2"/>
      <c r="AM5" s="2"/>
      <c r="AN5" s="2"/>
      <c r="AO5" s="2"/>
      <c r="AP5" s="2"/>
      <c r="AQ5" s="2"/>
      <c r="AR5" s="2" t="s">
        <v>408</v>
      </c>
      <c r="AS5" s="2"/>
      <c r="AT5" s="2" t="s">
        <v>51</v>
      </c>
      <c r="AU5" s="2">
        <v>100</v>
      </c>
      <c r="AV5" s="2">
        <v>200</v>
      </c>
      <c r="AW5" s="2"/>
      <c r="AX5" s="2" t="s">
        <v>23</v>
      </c>
      <c r="AY5" s="2"/>
      <c r="AZ5" s="2" t="s">
        <v>406</v>
      </c>
      <c r="BA5" s="9" t="s">
        <v>78</v>
      </c>
      <c r="BB5" s="9" t="s">
        <v>77</v>
      </c>
      <c r="BC5" s="9" t="s">
        <v>71</v>
      </c>
      <c r="BD5" s="9" t="s">
        <v>72</v>
      </c>
      <c r="BE5" s="9" t="s">
        <v>73</v>
      </c>
      <c r="BF5" s="9" t="s">
        <v>74</v>
      </c>
      <c r="BG5" s="9" t="s">
        <v>76</v>
      </c>
      <c r="BH5" s="9" t="s">
        <v>75</v>
      </c>
      <c r="BI5" s="9">
        <v>5000</v>
      </c>
      <c r="BJ5" s="9">
        <v>264</v>
      </c>
      <c r="BK5" s="9">
        <v>5000</v>
      </c>
      <c r="BL5" s="9">
        <v>534</v>
      </c>
      <c r="BM5" s="9">
        <v>2500</v>
      </c>
      <c r="BN5" s="9">
        <v>81</v>
      </c>
      <c r="BO5" s="9">
        <v>2500</v>
      </c>
      <c r="BP5" s="9">
        <v>113</v>
      </c>
      <c r="BQ5" s="2"/>
    </row>
    <row r="6" spans="1:69" ht="135" x14ac:dyDescent="0.25">
      <c r="A6" s="101" t="s">
        <v>347</v>
      </c>
      <c r="B6" s="102"/>
      <c r="C6" s="102"/>
      <c r="D6" s="102"/>
      <c r="E6" s="102" t="s">
        <v>4</v>
      </c>
      <c r="F6" s="2" t="s">
        <v>6</v>
      </c>
      <c r="G6" s="2">
        <v>0.4</v>
      </c>
      <c r="H6" s="2">
        <v>0.9</v>
      </c>
      <c r="I6" s="2"/>
      <c r="J6" s="2"/>
      <c r="K6" s="2" t="s">
        <v>133</v>
      </c>
      <c r="L6" s="2"/>
      <c r="M6" s="2"/>
      <c r="N6" s="2"/>
      <c r="O6" s="2"/>
      <c r="P6" s="2"/>
      <c r="Q6" s="2"/>
      <c r="R6" s="2"/>
      <c r="S6" s="2"/>
      <c r="T6" s="2"/>
      <c r="U6" s="2">
        <f t="shared" si="0"/>
        <v>0.30000000000000004</v>
      </c>
      <c r="V6" s="2">
        <f t="shared" si="1"/>
        <v>0.4</v>
      </c>
      <c r="W6" s="2">
        <f t="shared" si="2"/>
        <v>0.4</v>
      </c>
      <c r="X6" s="2"/>
      <c r="Y6" s="2"/>
      <c r="Z6" s="2"/>
      <c r="AA6" s="2"/>
      <c r="AB6" s="2"/>
      <c r="AC6" s="2"/>
      <c r="AD6" s="2"/>
      <c r="AE6" s="2" t="s">
        <v>394</v>
      </c>
      <c r="AF6" s="2" t="s">
        <v>399</v>
      </c>
      <c r="AG6" s="2"/>
      <c r="AH6" s="2"/>
      <c r="AI6" s="2"/>
      <c r="AJ6" s="2"/>
      <c r="AK6" s="2"/>
      <c r="AL6" s="2"/>
      <c r="AM6" s="2"/>
      <c r="AN6" s="2"/>
      <c r="AO6" s="2"/>
      <c r="AP6" s="2"/>
      <c r="AQ6" s="2"/>
      <c r="AR6" s="2" t="s">
        <v>407</v>
      </c>
      <c r="AS6" s="2"/>
      <c r="AT6" s="2" t="s">
        <v>49</v>
      </c>
      <c r="AU6" s="2">
        <v>125</v>
      </c>
      <c r="AV6" s="2">
        <v>200</v>
      </c>
      <c r="AW6" s="2"/>
      <c r="AX6" s="2"/>
      <c r="AY6" s="2"/>
      <c r="AZ6" s="2"/>
      <c r="BA6" s="9"/>
      <c r="BB6" s="9"/>
      <c r="BC6" s="9"/>
      <c r="BD6" s="9"/>
      <c r="BE6" s="9"/>
      <c r="BF6" s="9"/>
      <c r="BG6" s="9"/>
      <c r="BH6" s="9"/>
      <c r="BI6" s="9">
        <v>10000</v>
      </c>
      <c r="BJ6" s="9">
        <v>235</v>
      </c>
      <c r="BK6" s="9">
        <v>10000</v>
      </c>
      <c r="BL6" s="9">
        <v>304</v>
      </c>
      <c r="BM6" s="9">
        <v>5000</v>
      </c>
      <c r="BN6" s="9">
        <v>78</v>
      </c>
      <c r="BO6" s="9">
        <v>5000</v>
      </c>
      <c r="BP6" s="9">
        <v>111</v>
      </c>
      <c r="BQ6" s="2"/>
    </row>
    <row r="7" spans="1:69" ht="90" x14ac:dyDescent="0.25">
      <c r="A7" s="101" t="s">
        <v>347</v>
      </c>
      <c r="B7" s="102"/>
      <c r="C7" s="102"/>
      <c r="D7" s="102"/>
      <c r="E7" s="102" t="s">
        <v>2</v>
      </c>
      <c r="F7" s="2" t="s">
        <v>7</v>
      </c>
      <c r="G7" s="2">
        <v>0.2</v>
      </c>
      <c r="H7" s="2">
        <v>0.5</v>
      </c>
      <c r="I7" s="2"/>
      <c r="J7" s="2"/>
      <c r="K7" s="2" t="s">
        <v>134</v>
      </c>
      <c r="L7" s="2"/>
      <c r="M7" s="2"/>
      <c r="N7" s="2"/>
      <c r="O7" s="2"/>
      <c r="P7" s="2"/>
      <c r="Q7" s="2"/>
      <c r="R7" s="2"/>
      <c r="S7" s="2"/>
      <c r="T7" s="2"/>
      <c r="U7" s="2">
        <f t="shared" si="0"/>
        <v>0.15000000000000002</v>
      </c>
      <c r="V7" s="2">
        <f t="shared" si="1"/>
        <v>0.2</v>
      </c>
      <c r="W7" s="2">
        <f t="shared" si="2"/>
        <v>0.2</v>
      </c>
      <c r="X7" s="2"/>
      <c r="Y7" s="2"/>
      <c r="Z7" s="2"/>
      <c r="AA7" s="2"/>
      <c r="AB7" s="2"/>
      <c r="AC7" s="2"/>
      <c r="AD7" s="2"/>
      <c r="AE7" s="2" t="s">
        <v>395</v>
      </c>
      <c r="AF7" s="2" t="s">
        <v>400</v>
      </c>
      <c r="AG7" s="2"/>
      <c r="AH7" s="2"/>
      <c r="AI7" s="2"/>
      <c r="AJ7" s="2"/>
      <c r="AK7" s="2"/>
      <c r="AL7" s="2"/>
      <c r="AM7" s="2"/>
      <c r="AN7" s="2"/>
      <c r="AO7" s="2"/>
      <c r="AP7" s="2"/>
      <c r="AQ7" s="2"/>
      <c r="AR7" s="2"/>
      <c r="AS7" s="2"/>
      <c r="AT7" s="2" t="s">
        <v>48</v>
      </c>
      <c r="AU7" s="2">
        <v>150</v>
      </c>
      <c r="AV7" s="2">
        <v>250</v>
      </c>
      <c r="AW7" s="2"/>
      <c r="AX7" s="2"/>
      <c r="AY7" s="2"/>
      <c r="AZ7" s="2"/>
      <c r="BA7" s="2"/>
      <c r="BB7" s="2"/>
      <c r="BC7" s="2"/>
      <c r="BD7" s="2"/>
      <c r="BE7" s="2"/>
      <c r="BF7" s="2"/>
      <c r="BG7" s="2"/>
      <c r="BH7" s="2"/>
      <c r="BI7" s="2"/>
      <c r="BJ7" s="9" t="s">
        <v>23</v>
      </c>
      <c r="BK7" s="9" t="s">
        <v>23</v>
      </c>
      <c r="BL7" s="9"/>
      <c r="BM7" s="9"/>
      <c r="BN7" s="9"/>
      <c r="BO7" s="9">
        <v>10000</v>
      </c>
      <c r="BP7" s="9">
        <v>108</v>
      </c>
      <c r="BQ7" s="2"/>
    </row>
    <row r="8" spans="1:69" ht="30" x14ac:dyDescent="0.25">
      <c r="A8" s="101" t="s">
        <v>347</v>
      </c>
      <c r="B8" s="102"/>
      <c r="C8" s="102"/>
      <c r="D8" s="102"/>
      <c r="E8" s="102" t="s">
        <v>3</v>
      </c>
      <c r="F8" s="2" t="s">
        <v>7</v>
      </c>
      <c r="G8" s="2">
        <v>0.3</v>
      </c>
      <c r="H8" s="2">
        <v>0.7</v>
      </c>
      <c r="I8" s="2"/>
      <c r="J8" s="2"/>
      <c r="K8" s="2"/>
      <c r="L8" s="2"/>
      <c r="M8" s="2"/>
      <c r="N8" s="2"/>
      <c r="O8" s="2"/>
      <c r="P8" s="2"/>
      <c r="Q8" s="2"/>
      <c r="R8" s="2"/>
      <c r="S8" s="2"/>
      <c r="T8" s="2"/>
      <c r="U8" s="2">
        <f t="shared" si="0"/>
        <v>0.22499999999999998</v>
      </c>
      <c r="V8" s="2">
        <f t="shared" si="1"/>
        <v>0.3</v>
      </c>
      <c r="W8" s="2">
        <f t="shared" si="2"/>
        <v>0.3</v>
      </c>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row>
    <row r="9" spans="1:69" ht="45" x14ac:dyDescent="0.25">
      <c r="A9" s="101" t="s">
        <v>347</v>
      </c>
      <c r="B9" s="102"/>
      <c r="C9" s="102"/>
      <c r="D9" s="102"/>
      <c r="E9" s="102" t="s">
        <v>4</v>
      </c>
      <c r="F9" s="2" t="s">
        <v>7</v>
      </c>
      <c r="G9" s="2">
        <v>0.7</v>
      </c>
      <c r="H9" s="2">
        <v>1.3</v>
      </c>
      <c r="I9" s="2"/>
      <c r="J9" s="2"/>
      <c r="K9" s="2"/>
      <c r="L9" s="2"/>
      <c r="M9" s="2"/>
      <c r="N9" s="2"/>
      <c r="O9" s="2"/>
      <c r="P9" s="2"/>
      <c r="Q9" s="2"/>
      <c r="R9" s="2"/>
      <c r="S9" s="2"/>
      <c r="T9" s="2"/>
      <c r="U9" s="2">
        <f t="shared" si="0"/>
        <v>0.52499999999999991</v>
      </c>
      <c r="V9" s="2">
        <f t="shared" si="1"/>
        <v>0.7</v>
      </c>
      <c r="W9" s="2">
        <f t="shared" si="2"/>
        <v>0.7</v>
      </c>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row>
    <row r="10" spans="1:69" ht="30" x14ac:dyDescent="0.25">
      <c r="A10" s="101" t="s">
        <v>347</v>
      </c>
      <c r="B10" s="102"/>
      <c r="C10" s="102"/>
      <c r="D10" s="102"/>
      <c r="E10" s="102" t="s">
        <v>2</v>
      </c>
      <c r="F10" s="2" t="s">
        <v>8</v>
      </c>
      <c r="G10" s="2">
        <v>0.3</v>
      </c>
      <c r="H10" s="2">
        <v>0.6</v>
      </c>
      <c r="I10" s="2"/>
      <c r="J10" s="2"/>
      <c r="K10" s="2"/>
      <c r="L10" s="2"/>
      <c r="M10" s="2"/>
      <c r="N10" s="2"/>
      <c r="O10" s="2"/>
      <c r="P10" s="2"/>
      <c r="Q10" s="2"/>
      <c r="R10" s="2"/>
      <c r="S10" s="2"/>
      <c r="T10" s="2"/>
      <c r="U10" s="2">
        <f t="shared" si="0"/>
        <v>0.22499999999999998</v>
      </c>
      <c r="V10" s="2">
        <f t="shared" si="1"/>
        <v>0.3</v>
      </c>
      <c r="W10" s="2">
        <f t="shared" si="2"/>
        <v>0.3</v>
      </c>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row>
    <row r="11" spans="1:69" ht="30" x14ac:dyDescent="0.25">
      <c r="A11" s="101" t="s">
        <v>347</v>
      </c>
      <c r="B11" s="102"/>
      <c r="C11" s="102"/>
      <c r="D11" s="102"/>
      <c r="E11" s="102" t="s">
        <v>3</v>
      </c>
      <c r="F11" s="2" t="s">
        <v>8</v>
      </c>
      <c r="G11" s="2">
        <v>0.75</v>
      </c>
      <c r="H11" s="2">
        <v>1.1000000000000001</v>
      </c>
      <c r="I11" s="2"/>
      <c r="J11" s="2"/>
      <c r="K11" s="2"/>
      <c r="L11" s="2"/>
      <c r="M11" s="2"/>
      <c r="N11" s="2"/>
      <c r="O11" s="2"/>
      <c r="P11" s="2"/>
      <c r="Q11" s="2"/>
      <c r="R11" s="2"/>
      <c r="S11" s="2"/>
      <c r="T11" s="2"/>
      <c r="U11" s="2">
        <f t="shared" si="0"/>
        <v>0.5625</v>
      </c>
      <c r="V11" s="2">
        <f t="shared" si="1"/>
        <v>0.75</v>
      </c>
      <c r="W11" s="2">
        <f t="shared" si="2"/>
        <v>0.75</v>
      </c>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row>
    <row r="12" spans="1:69" ht="45" x14ac:dyDescent="0.25">
      <c r="A12" s="101" t="s">
        <v>347</v>
      </c>
      <c r="B12" s="102"/>
      <c r="C12" s="102"/>
      <c r="D12" s="102"/>
      <c r="E12" s="102" t="s">
        <v>4</v>
      </c>
      <c r="F12" s="2" t="s">
        <v>8</v>
      </c>
      <c r="G12" s="2">
        <v>1.4</v>
      </c>
      <c r="H12" s="2">
        <v>1.6</v>
      </c>
      <c r="I12" s="2"/>
      <c r="J12" s="2"/>
      <c r="K12" s="2"/>
      <c r="L12" s="2"/>
      <c r="M12" s="2"/>
      <c r="N12" s="2"/>
      <c r="O12" s="2"/>
      <c r="P12" s="2"/>
      <c r="Q12" s="2"/>
      <c r="R12" s="2"/>
      <c r="S12" s="2"/>
      <c r="T12" s="2"/>
      <c r="U12" s="2">
        <f t="shared" si="0"/>
        <v>1.0499999999999998</v>
      </c>
      <c r="V12" s="2">
        <f t="shared" si="1"/>
        <v>1.4</v>
      </c>
      <c r="W12" s="2">
        <f t="shared" si="2"/>
        <v>1.4</v>
      </c>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row>
    <row r="13" spans="1:69" ht="30" x14ac:dyDescent="0.25">
      <c r="A13" s="101" t="s">
        <v>347</v>
      </c>
      <c r="B13" s="102"/>
      <c r="C13" s="102"/>
      <c r="D13" s="102"/>
      <c r="E13" s="102"/>
      <c r="F13" s="2"/>
      <c r="G13" s="2"/>
      <c r="H13" s="2"/>
      <c r="I13" s="2"/>
      <c r="J13" s="2"/>
      <c r="K13" s="2"/>
      <c r="L13" s="2"/>
      <c r="M13" s="2"/>
      <c r="N13" s="2"/>
      <c r="O13" s="2"/>
      <c r="P13" s="2"/>
      <c r="Q13" s="2"/>
      <c r="R13" s="2"/>
      <c r="S13" s="2"/>
      <c r="T13" s="2"/>
      <c r="U13" s="2"/>
      <c r="V13" s="2"/>
      <c r="W13" s="2" t="s">
        <v>426</v>
      </c>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t="s">
        <v>410</v>
      </c>
    </row>
    <row r="14" spans="1:69" ht="60" x14ac:dyDescent="0.25">
      <c r="A14" s="101" t="s">
        <v>347</v>
      </c>
      <c r="B14" s="102"/>
      <c r="C14" s="102"/>
      <c r="D14" s="102"/>
      <c r="E14" s="10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t="s">
        <v>445</v>
      </c>
    </row>
    <row r="15" spans="1:69" ht="195" x14ac:dyDescent="0.25">
      <c r="A15" s="116" t="s">
        <v>421</v>
      </c>
      <c r="B15" s="113" t="s">
        <v>383</v>
      </c>
      <c r="C15" s="114">
        <v>575</v>
      </c>
      <c r="D15" s="114">
        <v>625</v>
      </c>
      <c r="E15" s="102" t="s">
        <v>2</v>
      </c>
      <c r="F15" s="2" t="s">
        <v>6</v>
      </c>
      <c r="G15" s="2"/>
      <c r="H15" s="2"/>
      <c r="I15" s="2" t="s">
        <v>424</v>
      </c>
      <c r="J15" s="2" t="s">
        <v>100</v>
      </c>
      <c r="K15" s="2" t="s">
        <v>131</v>
      </c>
      <c r="L15" s="99" t="s">
        <v>387</v>
      </c>
      <c r="M15" s="2" t="s">
        <v>109</v>
      </c>
      <c r="N15" s="2" t="s">
        <v>111</v>
      </c>
      <c r="O15" s="2">
        <v>0.05</v>
      </c>
      <c r="P15" s="2">
        <v>0.05</v>
      </c>
      <c r="Q15" s="2">
        <v>0.05</v>
      </c>
      <c r="R15" s="2">
        <v>0.1</v>
      </c>
      <c r="S15" s="2">
        <v>0.05</v>
      </c>
      <c r="T15" s="2">
        <v>0.12</v>
      </c>
      <c r="U15" s="2">
        <v>7.5000000000000011E-2</v>
      </c>
      <c r="V15" s="2">
        <v>0.1</v>
      </c>
      <c r="W15" s="2">
        <v>0.1</v>
      </c>
      <c r="X15" s="2" t="s">
        <v>427</v>
      </c>
      <c r="Y15" s="2" t="s">
        <v>427</v>
      </c>
      <c r="Z15" s="2" t="s">
        <v>427</v>
      </c>
      <c r="AA15" s="2" t="s">
        <v>428</v>
      </c>
      <c r="AB15" s="9">
        <v>175</v>
      </c>
      <c r="AC15" s="9">
        <v>50</v>
      </c>
      <c r="AD15" s="9">
        <v>75</v>
      </c>
      <c r="AE15" s="2" t="s">
        <v>429</v>
      </c>
      <c r="AF15" s="2" t="s">
        <v>430</v>
      </c>
      <c r="AG15" s="2" t="s">
        <v>431</v>
      </c>
      <c r="AH15" s="9" t="s">
        <v>403</v>
      </c>
      <c r="AI15" s="2">
        <v>50</v>
      </c>
      <c r="AJ15" s="2">
        <v>100</v>
      </c>
      <c r="AK15" s="2" t="s">
        <v>221</v>
      </c>
      <c r="AL15" s="2">
        <v>25</v>
      </c>
      <c r="AM15" s="2">
        <v>50</v>
      </c>
      <c r="AN15" s="2">
        <v>75</v>
      </c>
      <c r="AO15" s="2">
        <v>125</v>
      </c>
      <c r="AP15" s="2">
        <v>150</v>
      </c>
      <c r="AQ15" s="2">
        <v>50</v>
      </c>
      <c r="AR15" s="2" t="s">
        <v>433</v>
      </c>
      <c r="AS15" s="2">
        <v>0.05</v>
      </c>
      <c r="AT15" s="2" t="s">
        <v>47</v>
      </c>
      <c r="AU15" s="2">
        <v>75</v>
      </c>
      <c r="AV15" s="2">
        <v>150</v>
      </c>
      <c r="AW15" s="115" t="s">
        <v>295</v>
      </c>
      <c r="AX15" s="2" t="s">
        <v>405</v>
      </c>
      <c r="AY15" s="2" t="s">
        <v>113</v>
      </c>
      <c r="AZ15" s="2" t="s">
        <v>120</v>
      </c>
      <c r="BA15" s="9" t="s">
        <v>63</v>
      </c>
      <c r="BB15" s="9" t="s">
        <v>64</v>
      </c>
      <c r="BC15" s="9" t="s">
        <v>65</v>
      </c>
      <c r="BD15" s="9" t="s">
        <v>67</v>
      </c>
      <c r="BE15" s="9" t="s">
        <v>68</v>
      </c>
      <c r="BF15" s="9" t="s">
        <v>69</v>
      </c>
      <c r="BG15" s="9" t="s">
        <v>70</v>
      </c>
      <c r="BH15" s="9" t="s">
        <v>66</v>
      </c>
      <c r="BI15" s="9">
        <v>2500</v>
      </c>
      <c r="BJ15" s="9">
        <v>321</v>
      </c>
      <c r="BK15" s="9">
        <v>2500</v>
      </c>
      <c r="BL15" s="9" t="s">
        <v>46</v>
      </c>
      <c r="BM15" s="9">
        <v>1000</v>
      </c>
      <c r="BN15" s="9">
        <v>82</v>
      </c>
      <c r="BO15" s="9">
        <v>1000</v>
      </c>
      <c r="BP15" s="9">
        <v>114</v>
      </c>
      <c r="BQ15" s="2"/>
    </row>
    <row r="16" spans="1:69" ht="225" x14ac:dyDescent="0.25">
      <c r="A16" s="116" t="s">
        <v>421</v>
      </c>
      <c r="B16" s="2"/>
      <c r="C16" s="102"/>
      <c r="D16" s="102"/>
      <c r="E16" s="102" t="s">
        <v>3</v>
      </c>
      <c r="F16" s="2" t="s">
        <v>6</v>
      </c>
      <c r="G16" s="2"/>
      <c r="H16" s="2"/>
      <c r="I16" s="2"/>
      <c r="J16" s="2" t="s">
        <v>108</v>
      </c>
      <c r="K16" s="2" t="s">
        <v>132</v>
      </c>
      <c r="L16" s="99" t="s">
        <v>388</v>
      </c>
      <c r="M16" s="2"/>
      <c r="N16" s="2"/>
      <c r="O16" s="2"/>
      <c r="P16" s="2"/>
      <c r="Q16" s="2"/>
      <c r="R16" s="2"/>
      <c r="S16" s="2"/>
      <c r="T16" s="2"/>
      <c r="U16" s="2">
        <v>0.11249999999999999</v>
      </c>
      <c r="V16" s="2">
        <v>0.15</v>
      </c>
      <c r="W16" s="2">
        <v>0.15</v>
      </c>
      <c r="X16" s="2"/>
      <c r="Y16" s="2"/>
      <c r="Z16" s="2"/>
      <c r="AA16" s="2"/>
      <c r="AB16" s="2"/>
      <c r="AC16" s="2"/>
      <c r="AD16" s="2"/>
      <c r="AE16" s="2" t="s">
        <v>392</v>
      </c>
      <c r="AF16" s="2" t="s">
        <v>397</v>
      </c>
      <c r="AG16" s="2" t="s">
        <v>432</v>
      </c>
      <c r="AH16" s="2" t="s">
        <v>404</v>
      </c>
      <c r="AI16" s="2"/>
      <c r="AJ16" s="2"/>
      <c r="AK16" s="2"/>
      <c r="AL16" s="2"/>
      <c r="AM16" s="2"/>
      <c r="AN16" s="2"/>
      <c r="AO16" s="2"/>
      <c r="AP16" s="2"/>
      <c r="AQ16" s="2"/>
      <c r="AR16" s="2" t="s">
        <v>23</v>
      </c>
      <c r="AS16" s="2"/>
      <c r="AT16" s="2" t="s">
        <v>51</v>
      </c>
      <c r="AU16" s="2">
        <v>100</v>
      </c>
      <c r="AV16" s="2">
        <v>200</v>
      </c>
      <c r="AW16" s="2"/>
      <c r="AX16" s="2" t="s">
        <v>23</v>
      </c>
      <c r="AY16" s="2"/>
      <c r="AZ16" s="2" t="s">
        <v>406</v>
      </c>
      <c r="BA16" s="9" t="s">
        <v>78</v>
      </c>
      <c r="BB16" s="9" t="s">
        <v>77</v>
      </c>
      <c r="BC16" s="9" t="s">
        <v>71</v>
      </c>
      <c r="BD16" s="9" t="s">
        <v>72</v>
      </c>
      <c r="BE16" s="9" t="s">
        <v>73</v>
      </c>
      <c r="BF16" s="9" t="s">
        <v>74</v>
      </c>
      <c r="BG16" s="9" t="s">
        <v>76</v>
      </c>
      <c r="BH16" s="9" t="s">
        <v>75</v>
      </c>
      <c r="BI16" s="9">
        <v>5000</v>
      </c>
      <c r="BJ16" s="9">
        <v>264</v>
      </c>
      <c r="BK16" s="9">
        <v>5000</v>
      </c>
      <c r="BL16" s="9">
        <v>534</v>
      </c>
      <c r="BM16" s="9">
        <v>2500</v>
      </c>
      <c r="BN16" s="9">
        <v>81</v>
      </c>
      <c r="BO16" s="9">
        <v>2500</v>
      </c>
      <c r="BP16" s="9">
        <v>113</v>
      </c>
      <c r="BQ16" s="2"/>
    </row>
    <row r="17" spans="1:69" ht="165" x14ac:dyDescent="0.25">
      <c r="A17" s="116" t="s">
        <v>421</v>
      </c>
      <c r="B17" s="2"/>
      <c r="C17" s="102"/>
      <c r="D17" s="102"/>
      <c r="E17" s="102" t="s">
        <v>4</v>
      </c>
      <c r="F17" s="2" t="s">
        <v>6</v>
      </c>
      <c r="G17" s="2"/>
      <c r="H17" s="2"/>
      <c r="I17" s="2"/>
      <c r="J17" s="2"/>
      <c r="K17" s="2" t="s">
        <v>133</v>
      </c>
      <c r="L17" s="2"/>
      <c r="M17" s="2"/>
      <c r="N17" s="2"/>
      <c r="O17" s="2"/>
      <c r="P17" s="2"/>
      <c r="Q17" s="2"/>
      <c r="R17" s="2"/>
      <c r="S17" s="2"/>
      <c r="T17" s="2"/>
      <c r="U17" s="2">
        <v>0.30000000000000004</v>
      </c>
      <c r="V17" s="2">
        <v>0.4</v>
      </c>
      <c r="W17" s="2">
        <v>0.4</v>
      </c>
      <c r="X17" s="2"/>
      <c r="Y17" s="2"/>
      <c r="Z17" s="2"/>
      <c r="AA17" s="2"/>
      <c r="AB17" s="2"/>
      <c r="AC17" s="2"/>
      <c r="AD17" s="2"/>
      <c r="AE17" s="2" t="s">
        <v>393</v>
      </c>
      <c r="AF17" s="2" t="s">
        <v>398</v>
      </c>
      <c r="AG17" s="2"/>
      <c r="AH17" s="2"/>
      <c r="AI17" s="2"/>
      <c r="AJ17" s="2"/>
      <c r="AK17" s="2"/>
      <c r="AL17" s="2"/>
      <c r="AM17" s="2"/>
      <c r="AN17" s="2"/>
      <c r="AO17" s="2"/>
      <c r="AP17" s="2"/>
      <c r="AQ17" s="2"/>
      <c r="AR17" s="2" t="s">
        <v>23</v>
      </c>
      <c r="AS17" s="2"/>
      <c r="AT17" s="2" t="s">
        <v>49</v>
      </c>
      <c r="AU17" s="2">
        <v>125</v>
      </c>
      <c r="AV17" s="2">
        <v>200</v>
      </c>
      <c r="AW17" s="2"/>
      <c r="AX17" s="2"/>
      <c r="AY17" s="2"/>
      <c r="AZ17" s="2"/>
      <c r="BA17" s="9"/>
      <c r="BB17" s="9"/>
      <c r="BC17" s="9"/>
      <c r="BD17" s="9"/>
      <c r="BE17" s="9"/>
      <c r="BF17" s="9"/>
      <c r="BG17" s="9"/>
      <c r="BH17" s="9"/>
      <c r="BI17" s="9">
        <v>10000</v>
      </c>
      <c r="BJ17" s="9">
        <v>235</v>
      </c>
      <c r="BK17" s="9">
        <v>10000</v>
      </c>
      <c r="BL17" s="9">
        <v>304</v>
      </c>
      <c r="BM17" s="9">
        <v>5000</v>
      </c>
      <c r="BN17" s="9">
        <v>78</v>
      </c>
      <c r="BO17" s="9">
        <v>5000</v>
      </c>
      <c r="BP17" s="9">
        <v>111</v>
      </c>
      <c r="BQ17" s="2"/>
    </row>
    <row r="18" spans="1:69" ht="135" x14ac:dyDescent="0.25">
      <c r="A18" s="116" t="s">
        <v>421</v>
      </c>
      <c r="B18" s="2"/>
      <c r="C18" s="102"/>
      <c r="D18" s="102"/>
      <c r="E18" s="102" t="s">
        <v>2</v>
      </c>
      <c r="F18" s="2" t="s">
        <v>7</v>
      </c>
      <c r="G18" s="2"/>
      <c r="H18" s="2"/>
      <c r="I18" s="2"/>
      <c r="J18" s="2"/>
      <c r="K18" s="2" t="s">
        <v>134</v>
      </c>
      <c r="L18" s="2"/>
      <c r="M18" s="2"/>
      <c r="N18" s="2"/>
      <c r="O18" s="2"/>
      <c r="P18" s="2"/>
      <c r="Q18" s="2"/>
      <c r="R18" s="2"/>
      <c r="S18" s="2"/>
      <c r="T18" s="2"/>
      <c r="U18" s="2">
        <v>0.15000000000000002</v>
      </c>
      <c r="V18" s="2">
        <v>0.2</v>
      </c>
      <c r="W18" s="2">
        <v>0.2</v>
      </c>
      <c r="X18" s="2"/>
      <c r="Y18" s="2"/>
      <c r="Z18" s="2"/>
      <c r="AA18" s="2"/>
      <c r="AB18" s="2"/>
      <c r="AC18" s="2"/>
      <c r="AD18" s="2"/>
      <c r="AE18" s="2" t="s">
        <v>394</v>
      </c>
      <c r="AF18" s="2" t="s">
        <v>399</v>
      </c>
      <c r="AG18" s="2"/>
      <c r="AH18" s="2"/>
      <c r="AI18" s="2"/>
      <c r="AJ18" s="2"/>
      <c r="AK18" s="2"/>
      <c r="AL18" s="2"/>
      <c r="AM18" s="2"/>
      <c r="AN18" s="2"/>
      <c r="AO18" s="2"/>
      <c r="AP18" s="2"/>
      <c r="AQ18" s="2"/>
      <c r="AR18" s="2"/>
      <c r="AS18" s="2"/>
      <c r="AT18" s="2" t="s">
        <v>48</v>
      </c>
      <c r="AU18" s="2">
        <v>150</v>
      </c>
      <c r="AV18" s="2">
        <v>250</v>
      </c>
      <c r="AW18" s="2"/>
      <c r="AX18" s="2"/>
      <c r="AY18" s="2"/>
      <c r="AZ18" s="2"/>
      <c r="BA18" s="2"/>
      <c r="BB18" s="2"/>
      <c r="BC18" s="2"/>
      <c r="BD18" s="2"/>
      <c r="BE18" s="2"/>
      <c r="BF18" s="2"/>
      <c r="BG18" s="2"/>
      <c r="BH18" s="2"/>
      <c r="BI18" s="2"/>
      <c r="BJ18" s="9" t="s">
        <v>23</v>
      </c>
      <c r="BK18" s="9" t="s">
        <v>23</v>
      </c>
      <c r="BL18" s="9"/>
      <c r="BM18" s="9"/>
      <c r="BN18" s="9"/>
      <c r="BO18" s="9">
        <v>10000</v>
      </c>
      <c r="BP18" s="9">
        <v>108</v>
      </c>
      <c r="BQ18" s="2"/>
    </row>
    <row r="19" spans="1:69" ht="45" x14ac:dyDescent="0.25">
      <c r="A19" s="116" t="s">
        <v>421</v>
      </c>
      <c r="B19" s="2"/>
      <c r="C19" s="102"/>
      <c r="D19" s="102"/>
      <c r="E19" s="102" t="s">
        <v>3</v>
      </c>
      <c r="F19" s="2" t="s">
        <v>7</v>
      </c>
      <c r="G19" s="2"/>
      <c r="H19" s="2"/>
      <c r="I19" s="2"/>
      <c r="J19" s="2"/>
      <c r="K19" s="2"/>
      <c r="L19" s="2"/>
      <c r="M19" s="2"/>
      <c r="N19" s="2"/>
      <c r="O19" s="2"/>
      <c r="P19" s="2"/>
      <c r="Q19" s="2"/>
      <c r="R19" s="2"/>
      <c r="S19" s="2"/>
      <c r="T19" s="2"/>
      <c r="U19" s="2">
        <v>0.22499999999999998</v>
      </c>
      <c r="V19" s="2">
        <v>0.3</v>
      </c>
      <c r="W19" s="2">
        <v>0.3</v>
      </c>
      <c r="X19" s="2"/>
      <c r="Y19" s="2"/>
      <c r="Z19" s="2"/>
      <c r="AA19" s="2"/>
      <c r="AB19" s="2"/>
      <c r="AC19" s="2"/>
      <c r="AD19" s="2"/>
      <c r="AE19" s="2" t="s">
        <v>395</v>
      </c>
      <c r="AF19" s="2" t="s">
        <v>400</v>
      </c>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row>
    <row r="20" spans="1:69" ht="45" x14ac:dyDescent="0.25">
      <c r="A20" s="116" t="s">
        <v>421</v>
      </c>
      <c r="B20" s="2"/>
      <c r="C20" s="102"/>
      <c r="D20" s="102"/>
      <c r="E20" s="102" t="s">
        <v>4</v>
      </c>
      <c r="F20" s="2" t="s">
        <v>7</v>
      </c>
      <c r="G20" s="2"/>
      <c r="H20" s="2"/>
      <c r="I20" s="2" t="s">
        <v>441</v>
      </c>
      <c r="J20" s="2"/>
      <c r="K20" s="2"/>
      <c r="L20" s="2"/>
      <c r="M20" s="2"/>
      <c r="N20" s="2"/>
      <c r="O20" s="2"/>
      <c r="P20" s="2"/>
      <c r="Q20" s="2"/>
      <c r="R20" s="2"/>
      <c r="S20" s="2"/>
      <c r="T20" s="2"/>
      <c r="U20" s="2">
        <v>0.52499999999999991</v>
      </c>
      <c r="V20" s="2">
        <v>0.7</v>
      </c>
      <c r="W20" s="2">
        <v>0.7</v>
      </c>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c r="BP20" s="2"/>
      <c r="BQ20" s="2" t="s">
        <v>434</v>
      </c>
    </row>
    <row r="21" spans="1:69" ht="30" x14ac:dyDescent="0.25">
      <c r="A21" s="116" t="s">
        <v>421</v>
      </c>
      <c r="B21" s="2"/>
      <c r="C21" s="102"/>
      <c r="D21" s="102"/>
      <c r="E21" s="102" t="s">
        <v>2</v>
      </c>
      <c r="F21" s="2" t="s">
        <v>8</v>
      </c>
      <c r="G21" s="2"/>
      <c r="H21" s="2"/>
      <c r="I21" s="2"/>
      <c r="J21" s="2"/>
      <c r="K21" s="2"/>
      <c r="L21" s="2"/>
      <c r="M21" s="2"/>
      <c r="N21" s="2"/>
      <c r="O21" s="2"/>
      <c r="P21" s="2"/>
      <c r="Q21" s="2"/>
      <c r="R21" s="2"/>
      <c r="S21" s="2"/>
      <c r="T21" s="2"/>
      <c r="U21" s="2">
        <v>0.22499999999999998</v>
      </c>
      <c r="V21" s="2">
        <v>0.3</v>
      </c>
      <c r="W21" s="2">
        <v>0.3</v>
      </c>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t="s">
        <v>435</v>
      </c>
    </row>
    <row r="22" spans="1:69" ht="45" x14ac:dyDescent="0.25">
      <c r="A22" s="116" t="s">
        <v>421</v>
      </c>
      <c r="B22" s="2"/>
      <c r="C22" s="102"/>
      <c r="D22" s="102"/>
      <c r="E22" s="102" t="s">
        <v>3</v>
      </c>
      <c r="F22" s="2" t="s">
        <v>8</v>
      </c>
      <c r="G22" s="2"/>
      <c r="H22" s="2"/>
      <c r="I22" s="2"/>
      <c r="J22" s="2"/>
      <c r="K22" s="2"/>
      <c r="L22" s="2"/>
      <c r="M22" s="2"/>
      <c r="N22" s="2"/>
      <c r="O22" s="2"/>
      <c r="P22" s="2"/>
      <c r="Q22" s="2"/>
      <c r="R22" s="2"/>
      <c r="S22" s="2"/>
      <c r="T22" s="2"/>
      <c r="U22" s="2">
        <v>0.5625</v>
      </c>
      <c r="V22" s="2">
        <v>0.75</v>
      </c>
      <c r="W22" s="2">
        <v>0.75</v>
      </c>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c r="BJ22" s="2"/>
      <c r="BK22" s="2"/>
      <c r="BL22" s="2"/>
      <c r="BM22" s="2"/>
      <c r="BN22" s="2"/>
      <c r="BO22" s="2"/>
      <c r="BP22" s="2"/>
      <c r="BQ22" s="2" t="s">
        <v>436</v>
      </c>
    </row>
    <row r="23" spans="1:69" ht="45" x14ac:dyDescent="0.25">
      <c r="A23" s="116" t="s">
        <v>421</v>
      </c>
      <c r="B23" s="2"/>
      <c r="C23" s="102"/>
      <c r="D23" s="102"/>
      <c r="E23" s="102" t="s">
        <v>4</v>
      </c>
      <c r="F23" s="2" t="s">
        <v>8</v>
      </c>
      <c r="G23" s="2"/>
      <c r="H23" s="2"/>
      <c r="I23" s="2"/>
      <c r="J23" s="2"/>
      <c r="K23" s="2"/>
      <c r="L23" s="2"/>
      <c r="M23" s="2"/>
      <c r="N23" s="2"/>
      <c r="O23" s="2"/>
      <c r="P23" s="2"/>
      <c r="Q23" s="2"/>
      <c r="R23" s="2"/>
      <c r="S23" s="2"/>
      <c r="T23" s="2"/>
      <c r="U23" s="2">
        <v>1.0499999999999998</v>
      </c>
      <c r="V23" s="2">
        <v>1.4</v>
      </c>
      <c r="W23" s="2">
        <v>1.4</v>
      </c>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t="s">
        <v>437</v>
      </c>
    </row>
    <row r="24" spans="1:69" ht="45" x14ac:dyDescent="0.25">
      <c r="A24" s="116" t="s">
        <v>421</v>
      </c>
      <c r="B24" s="2"/>
      <c r="C24" s="2"/>
      <c r="D24" s="2"/>
      <c r="E24" s="2"/>
      <c r="F24" s="2"/>
      <c r="G24" s="2"/>
      <c r="H24" s="2"/>
      <c r="I24" s="2"/>
      <c r="J24" s="2"/>
      <c r="K24" s="2"/>
      <c r="L24" s="2"/>
      <c r="M24" s="2"/>
      <c r="N24" s="2"/>
      <c r="O24" s="2"/>
      <c r="P24" s="2"/>
      <c r="Q24" s="2"/>
      <c r="R24" s="2"/>
      <c r="S24" s="2"/>
      <c r="T24" s="2"/>
      <c r="U24" s="2"/>
      <c r="V24" s="2"/>
      <c r="W24" s="2" t="s">
        <v>442</v>
      </c>
      <c r="X24" s="2"/>
      <c r="Y24" s="2"/>
      <c r="Z24" s="2"/>
      <c r="AA24" s="2" t="s">
        <v>443</v>
      </c>
      <c r="AB24" s="2"/>
      <c r="AC24" s="2"/>
      <c r="AD24" s="2"/>
      <c r="AE24" s="2" t="s">
        <v>444</v>
      </c>
      <c r="AF24" s="2" t="s">
        <v>444</v>
      </c>
      <c r="AG24" s="2" t="s">
        <v>443</v>
      </c>
      <c r="AH24" s="2"/>
      <c r="AI24" s="2" t="s">
        <v>443</v>
      </c>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c r="BJ24" s="2"/>
      <c r="BK24" s="2"/>
      <c r="BL24" s="2"/>
      <c r="BM24" s="2"/>
      <c r="BN24" s="2"/>
      <c r="BO24" s="2"/>
      <c r="BP24" s="2"/>
      <c r="BQ24" s="2" t="s">
        <v>439</v>
      </c>
    </row>
    <row r="25" spans="1:69" ht="30" x14ac:dyDescent="0.25">
      <c r="A25" s="116" t="s">
        <v>421</v>
      </c>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c r="BJ25" s="2"/>
      <c r="BK25" s="2"/>
      <c r="BL25" s="2"/>
      <c r="BM25" s="2"/>
      <c r="BN25" s="2"/>
      <c r="BO25" s="2"/>
      <c r="BP25" s="2"/>
      <c r="BQ25" s="2" t="s">
        <v>440</v>
      </c>
    </row>
    <row r="26" spans="1:69" ht="45" x14ac:dyDescent="0.25">
      <c r="A26" s="116" t="s">
        <v>421</v>
      </c>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c r="BJ26" s="2"/>
      <c r="BK26" s="2"/>
      <c r="BL26" s="2"/>
      <c r="BM26" s="2"/>
      <c r="BN26" s="2"/>
      <c r="BO26" s="2"/>
      <c r="BP26" s="2"/>
      <c r="BQ26" s="2" t="s">
        <v>438</v>
      </c>
    </row>
    <row r="27" spans="1:69" ht="60" x14ac:dyDescent="0.25">
      <c r="A27" s="116" t="s">
        <v>421</v>
      </c>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c r="BJ27" s="2"/>
      <c r="BK27" s="2"/>
      <c r="BL27" s="2"/>
      <c r="BM27" s="2"/>
      <c r="BN27" s="2"/>
      <c r="BO27" s="2"/>
      <c r="BP27" s="2"/>
      <c r="BQ27" s="2" t="s">
        <v>445</v>
      </c>
    </row>
  </sheetData>
  <mergeCells count="3">
    <mergeCell ref="O2:T2"/>
    <mergeCell ref="A1:R1"/>
    <mergeCell ref="U2:AQ2"/>
  </mergeCells>
  <hyperlinks>
    <hyperlink ref="B4" location="OperationClassifications!A1" display="OperationClassifications!A1" xr:uid="{00000000-0004-0000-0500-000000000000}"/>
    <hyperlink ref="AW4" location="FloodInstructions!A1" display="Flood Instructions" xr:uid="{00000000-0004-0000-0500-000001000000}"/>
    <hyperlink ref="B15" location="OperationClassifications!A1" display="OperationClassifications!A1" xr:uid="{00000000-0004-0000-0500-000002000000}"/>
    <hyperlink ref="AW15" location="FloodInstructions!A1" display="Flood Instructions" xr:uid="{00000000-0004-0000-0500-000003000000}"/>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147"/>
  <sheetViews>
    <sheetView workbookViewId="0">
      <pane ySplit="1" topLeftCell="A2" activePane="bottomLeft" state="frozen"/>
      <selection pane="bottomLeft" activeCell="F32" sqref="F32"/>
    </sheetView>
  </sheetViews>
  <sheetFormatPr defaultColWidth="9.140625" defaultRowHeight="15" x14ac:dyDescent="0.25"/>
  <cols>
    <col min="1" max="1" width="19.42578125" style="1" bestFit="1" customWidth="1"/>
    <col min="2" max="2" width="26.42578125" style="1" customWidth="1"/>
    <col min="3" max="3" width="39.28515625" style="1" customWidth="1"/>
    <col min="4" max="4" width="16.42578125" style="1" bestFit="1" customWidth="1"/>
    <col min="5" max="5" width="58.85546875" style="1" bestFit="1" customWidth="1"/>
    <col min="6" max="6" width="37.5703125" style="1" customWidth="1"/>
    <col min="7" max="7" width="30.7109375" style="1" customWidth="1"/>
    <col min="8" max="8" width="26.28515625" style="1" customWidth="1"/>
    <col min="9" max="16384" width="9.140625" style="1"/>
  </cols>
  <sheetData>
    <row r="1" spans="1:8" x14ac:dyDescent="0.25">
      <c r="A1" s="81" t="s">
        <v>514</v>
      </c>
      <c r="B1" s="81" t="s">
        <v>519</v>
      </c>
      <c r="C1" s="81" t="s">
        <v>504</v>
      </c>
      <c r="D1" s="81" t="s">
        <v>505</v>
      </c>
      <c r="E1" s="81" t="s">
        <v>506</v>
      </c>
      <c r="F1" s="81" t="s">
        <v>526</v>
      </c>
      <c r="G1" s="81" t="s">
        <v>507</v>
      </c>
      <c r="H1" s="81" t="s">
        <v>527</v>
      </c>
    </row>
    <row r="2" spans="1:8" ht="45" x14ac:dyDescent="0.25">
      <c r="A2" s="128" t="s">
        <v>115</v>
      </c>
      <c r="B2" s="128" t="s">
        <v>520</v>
      </c>
      <c r="C2" s="129" t="s">
        <v>13</v>
      </c>
      <c r="D2" s="128">
        <v>0.05</v>
      </c>
      <c r="E2" s="128" t="s">
        <v>511</v>
      </c>
      <c r="F2" s="128" t="s">
        <v>509</v>
      </c>
      <c r="G2" s="128"/>
      <c r="H2" s="128"/>
    </row>
    <row r="3" spans="1:8" ht="45" x14ac:dyDescent="0.25">
      <c r="A3" s="128" t="s">
        <v>115</v>
      </c>
      <c r="B3" s="128" t="s">
        <v>520</v>
      </c>
      <c r="C3" s="129" t="s">
        <v>14</v>
      </c>
      <c r="D3" s="128">
        <v>0.05</v>
      </c>
      <c r="E3" s="128" t="s">
        <v>513</v>
      </c>
      <c r="F3" s="128" t="s">
        <v>509</v>
      </c>
      <c r="G3" s="128"/>
      <c r="H3" s="128"/>
    </row>
    <row r="4" spans="1:8" ht="30" x14ac:dyDescent="0.25">
      <c r="A4" s="128" t="s">
        <v>115</v>
      </c>
      <c r="B4" s="128" t="s">
        <v>520</v>
      </c>
      <c r="C4" s="129" t="s">
        <v>15</v>
      </c>
      <c r="D4" s="128">
        <v>0.05</v>
      </c>
      <c r="E4" s="128" t="s">
        <v>508</v>
      </c>
      <c r="F4" s="128" t="s">
        <v>509</v>
      </c>
      <c r="G4" s="128"/>
      <c r="H4" s="128"/>
    </row>
    <row r="5" spans="1:8" ht="105" x14ac:dyDescent="0.25">
      <c r="A5" s="128" t="s">
        <v>115</v>
      </c>
      <c r="B5" s="128" t="s">
        <v>520</v>
      </c>
      <c r="C5" s="129" t="s">
        <v>510</v>
      </c>
      <c r="D5" s="128" t="s">
        <v>515</v>
      </c>
      <c r="E5" s="128" t="s">
        <v>512</v>
      </c>
      <c r="F5" s="128" t="s">
        <v>531</v>
      </c>
      <c r="G5" s="128"/>
      <c r="H5" s="128"/>
    </row>
    <row r="6" spans="1:8" ht="150" x14ac:dyDescent="0.25">
      <c r="A6" s="128" t="s">
        <v>115</v>
      </c>
      <c r="B6" s="128" t="s">
        <v>520</v>
      </c>
      <c r="C6" s="129" t="s">
        <v>16</v>
      </c>
      <c r="D6" s="128">
        <v>0.1</v>
      </c>
      <c r="E6" s="128" t="s">
        <v>516</v>
      </c>
      <c r="F6" s="128" t="s">
        <v>517</v>
      </c>
      <c r="G6" s="128"/>
      <c r="H6" s="128"/>
    </row>
    <row r="7" spans="1:8" ht="375" x14ac:dyDescent="0.25">
      <c r="A7" s="128" t="s">
        <v>115</v>
      </c>
      <c r="B7" s="128" t="s">
        <v>520</v>
      </c>
      <c r="C7" s="129" t="s">
        <v>518</v>
      </c>
      <c r="D7" s="128"/>
      <c r="E7" s="128"/>
      <c r="F7" s="128"/>
      <c r="G7" s="128" t="s">
        <v>529</v>
      </c>
      <c r="H7" s="128"/>
    </row>
    <row r="8" spans="1:8" ht="255" x14ac:dyDescent="0.25">
      <c r="A8" s="128" t="s">
        <v>115</v>
      </c>
      <c r="B8" s="128" t="s">
        <v>521</v>
      </c>
      <c r="C8" s="129" t="s">
        <v>417</v>
      </c>
      <c r="D8" s="128">
        <v>0.05</v>
      </c>
      <c r="E8" s="128" t="s">
        <v>525</v>
      </c>
      <c r="F8" s="128" t="s">
        <v>528</v>
      </c>
      <c r="G8" s="128" t="s">
        <v>46</v>
      </c>
      <c r="H8" s="128" t="s">
        <v>530</v>
      </c>
    </row>
    <row r="9" spans="1:8" ht="45" x14ac:dyDescent="0.25">
      <c r="A9" s="2" t="s">
        <v>10</v>
      </c>
      <c r="B9" s="2" t="s">
        <v>520</v>
      </c>
      <c r="C9" s="103" t="s">
        <v>13</v>
      </c>
      <c r="D9" s="2">
        <v>0.05</v>
      </c>
      <c r="E9" s="2" t="s">
        <v>511</v>
      </c>
      <c r="F9" s="2" t="s">
        <v>509</v>
      </c>
      <c r="G9" s="2"/>
      <c r="H9" s="2"/>
    </row>
    <row r="10" spans="1:8" ht="45" x14ac:dyDescent="0.25">
      <c r="A10" s="2" t="s">
        <v>10</v>
      </c>
      <c r="B10" s="2" t="s">
        <v>520</v>
      </c>
      <c r="C10" s="103" t="s">
        <v>14</v>
      </c>
      <c r="D10" s="2">
        <v>0.05</v>
      </c>
      <c r="E10" s="2" t="s">
        <v>513</v>
      </c>
      <c r="F10" s="2" t="s">
        <v>509</v>
      </c>
      <c r="G10" s="2"/>
      <c r="H10" s="2"/>
    </row>
    <row r="11" spans="1:8" ht="30" x14ac:dyDescent="0.25">
      <c r="A11" s="2" t="s">
        <v>10</v>
      </c>
      <c r="B11" s="2" t="s">
        <v>520</v>
      </c>
      <c r="C11" s="103" t="s">
        <v>15</v>
      </c>
      <c r="D11" s="2">
        <v>0.05</v>
      </c>
      <c r="E11" s="2" t="s">
        <v>508</v>
      </c>
      <c r="F11" s="2" t="s">
        <v>509</v>
      </c>
      <c r="G11" s="2"/>
      <c r="H11" s="2"/>
    </row>
    <row r="12" spans="1:8" ht="105" x14ac:dyDescent="0.25">
      <c r="A12" s="2" t="s">
        <v>10</v>
      </c>
      <c r="B12" s="2" t="s">
        <v>520</v>
      </c>
      <c r="C12" s="103" t="s">
        <v>510</v>
      </c>
      <c r="D12" s="2" t="s">
        <v>515</v>
      </c>
      <c r="E12" s="2" t="s">
        <v>512</v>
      </c>
      <c r="F12" s="2" t="s">
        <v>531</v>
      </c>
      <c r="G12" s="2"/>
      <c r="H12" s="2"/>
    </row>
    <row r="13" spans="1:8" ht="150" x14ac:dyDescent="0.25">
      <c r="A13" s="2" t="s">
        <v>10</v>
      </c>
      <c r="B13" s="2" t="s">
        <v>520</v>
      </c>
      <c r="C13" s="103" t="s">
        <v>16</v>
      </c>
      <c r="D13" s="2">
        <v>0.1</v>
      </c>
      <c r="E13" s="2" t="s">
        <v>516</v>
      </c>
      <c r="F13" s="2" t="s">
        <v>517</v>
      </c>
      <c r="G13" s="2"/>
      <c r="H13" s="2"/>
    </row>
    <row r="14" spans="1:8" ht="375" x14ac:dyDescent="0.25">
      <c r="A14" s="2" t="s">
        <v>10</v>
      </c>
      <c r="B14" s="2" t="s">
        <v>520</v>
      </c>
      <c r="C14" s="103" t="s">
        <v>518</v>
      </c>
      <c r="D14" s="2"/>
      <c r="E14" s="2"/>
      <c r="F14" s="2"/>
      <c r="G14" s="2" t="s">
        <v>529</v>
      </c>
      <c r="H14" s="2"/>
    </row>
    <row r="15" spans="1:8" ht="255" x14ac:dyDescent="0.25">
      <c r="A15" s="2" t="s">
        <v>10</v>
      </c>
      <c r="B15" s="2" t="s">
        <v>521</v>
      </c>
      <c r="C15" s="103" t="s">
        <v>417</v>
      </c>
      <c r="D15" s="2">
        <v>0.05</v>
      </c>
      <c r="E15" s="2" t="s">
        <v>525</v>
      </c>
      <c r="F15" s="2" t="s">
        <v>528</v>
      </c>
      <c r="G15" s="2" t="s">
        <v>46</v>
      </c>
      <c r="H15" s="2" t="s">
        <v>530</v>
      </c>
    </row>
    <row r="16" spans="1:8" ht="45" x14ac:dyDescent="0.25">
      <c r="A16" s="128" t="s">
        <v>236</v>
      </c>
      <c r="B16" s="128" t="s">
        <v>520</v>
      </c>
      <c r="C16" s="129" t="s">
        <v>13</v>
      </c>
      <c r="D16" s="128">
        <v>0.05</v>
      </c>
      <c r="E16" s="128" t="s">
        <v>511</v>
      </c>
      <c r="F16" s="128" t="s">
        <v>509</v>
      </c>
      <c r="G16" s="128"/>
      <c r="H16" s="128"/>
    </row>
    <row r="17" spans="1:8" ht="45" x14ac:dyDescent="0.25">
      <c r="A17" s="128" t="s">
        <v>236</v>
      </c>
      <c r="B17" s="128" t="s">
        <v>520</v>
      </c>
      <c r="C17" s="129" t="s">
        <v>14</v>
      </c>
      <c r="D17" s="128">
        <v>0.05</v>
      </c>
      <c r="E17" s="128" t="s">
        <v>513</v>
      </c>
      <c r="F17" s="128" t="s">
        <v>509</v>
      </c>
      <c r="G17" s="128"/>
      <c r="H17" s="128"/>
    </row>
    <row r="18" spans="1:8" ht="30" x14ac:dyDescent="0.25">
      <c r="A18" s="128" t="s">
        <v>236</v>
      </c>
      <c r="B18" s="128" t="s">
        <v>520</v>
      </c>
      <c r="C18" s="129" t="s">
        <v>15</v>
      </c>
      <c r="D18" s="128">
        <v>0.05</v>
      </c>
      <c r="E18" s="128" t="s">
        <v>508</v>
      </c>
      <c r="F18" s="128" t="s">
        <v>509</v>
      </c>
      <c r="G18" s="128"/>
      <c r="H18" s="128"/>
    </row>
    <row r="19" spans="1:8" ht="105" x14ac:dyDescent="0.25">
      <c r="A19" s="128" t="s">
        <v>236</v>
      </c>
      <c r="B19" s="128" t="s">
        <v>520</v>
      </c>
      <c r="C19" s="129" t="s">
        <v>510</v>
      </c>
      <c r="D19" s="128" t="s">
        <v>515</v>
      </c>
      <c r="E19" s="128" t="s">
        <v>512</v>
      </c>
      <c r="F19" s="128" t="s">
        <v>531</v>
      </c>
      <c r="G19" s="128"/>
      <c r="H19" s="128"/>
    </row>
    <row r="20" spans="1:8" ht="150" x14ac:dyDescent="0.25">
      <c r="A20" s="128" t="s">
        <v>236</v>
      </c>
      <c r="B20" s="128" t="s">
        <v>520</v>
      </c>
      <c r="C20" s="129" t="s">
        <v>16</v>
      </c>
      <c r="D20" s="128">
        <v>0.1</v>
      </c>
      <c r="E20" s="128" t="s">
        <v>516</v>
      </c>
      <c r="F20" s="128" t="s">
        <v>517</v>
      </c>
      <c r="G20" s="128"/>
      <c r="H20" s="128"/>
    </row>
    <row r="21" spans="1:8" ht="375" x14ac:dyDescent="0.25">
      <c r="A21" s="128" t="s">
        <v>236</v>
      </c>
      <c r="B21" s="128" t="s">
        <v>520</v>
      </c>
      <c r="C21" s="129" t="s">
        <v>518</v>
      </c>
      <c r="D21" s="128"/>
      <c r="E21" s="128"/>
      <c r="F21" s="128"/>
      <c r="G21" s="128" t="s">
        <v>529</v>
      </c>
      <c r="H21" s="128"/>
    </row>
    <row r="22" spans="1:8" ht="255" x14ac:dyDescent="0.25">
      <c r="A22" s="128" t="s">
        <v>236</v>
      </c>
      <c r="B22" s="128" t="s">
        <v>521</v>
      </c>
      <c r="C22" s="129" t="s">
        <v>417</v>
      </c>
      <c r="D22" s="128">
        <v>0.05</v>
      </c>
      <c r="E22" s="128" t="s">
        <v>525</v>
      </c>
      <c r="F22" s="128" t="s">
        <v>528</v>
      </c>
      <c r="G22" s="128" t="s">
        <v>46</v>
      </c>
      <c r="H22" s="128" t="s">
        <v>530</v>
      </c>
    </row>
    <row r="23" spans="1:8" ht="45" x14ac:dyDescent="0.25">
      <c r="A23" s="2" t="s">
        <v>297</v>
      </c>
      <c r="B23" s="2" t="s">
        <v>520</v>
      </c>
      <c r="C23" s="103" t="s">
        <v>13</v>
      </c>
      <c r="D23" s="2">
        <v>0.05</v>
      </c>
      <c r="E23" s="2" t="s">
        <v>511</v>
      </c>
      <c r="F23" s="2" t="s">
        <v>509</v>
      </c>
      <c r="G23" s="2"/>
      <c r="H23" s="2"/>
    </row>
    <row r="24" spans="1:8" ht="45" x14ac:dyDescent="0.25">
      <c r="A24" s="2" t="s">
        <v>297</v>
      </c>
      <c r="B24" s="2" t="s">
        <v>520</v>
      </c>
      <c r="C24" s="103" t="s">
        <v>14</v>
      </c>
      <c r="D24" s="2">
        <v>0.05</v>
      </c>
      <c r="E24" s="2" t="s">
        <v>513</v>
      </c>
      <c r="F24" s="2" t="s">
        <v>509</v>
      </c>
      <c r="G24" s="2"/>
      <c r="H24" s="2"/>
    </row>
    <row r="25" spans="1:8" ht="30" x14ac:dyDescent="0.25">
      <c r="A25" s="127" t="s">
        <v>297</v>
      </c>
      <c r="B25" s="2" t="s">
        <v>520</v>
      </c>
      <c r="C25" s="110" t="s">
        <v>532</v>
      </c>
      <c r="D25" s="2">
        <v>0.05</v>
      </c>
      <c r="E25" s="2" t="s">
        <v>533</v>
      </c>
      <c r="F25" s="2" t="s">
        <v>509</v>
      </c>
      <c r="G25" s="2"/>
      <c r="H25" s="2"/>
    </row>
    <row r="26" spans="1:8" ht="105" x14ac:dyDescent="0.25">
      <c r="A26" s="2" t="s">
        <v>297</v>
      </c>
      <c r="B26" s="2" t="s">
        <v>520</v>
      </c>
      <c r="C26" s="103" t="s">
        <v>510</v>
      </c>
      <c r="D26" s="2" t="s">
        <v>515</v>
      </c>
      <c r="E26" s="2" t="s">
        <v>512</v>
      </c>
      <c r="F26" s="2" t="s">
        <v>531</v>
      </c>
      <c r="G26" s="2"/>
      <c r="H26" s="2"/>
    </row>
    <row r="27" spans="1:8" ht="150" x14ac:dyDescent="0.25">
      <c r="A27" s="2" t="s">
        <v>297</v>
      </c>
      <c r="B27" s="2" t="s">
        <v>520</v>
      </c>
      <c r="C27" s="103" t="s">
        <v>16</v>
      </c>
      <c r="D27" s="2">
        <v>0.1</v>
      </c>
      <c r="E27" s="2" t="s">
        <v>516</v>
      </c>
      <c r="F27" s="2" t="s">
        <v>517</v>
      </c>
      <c r="G27" s="2"/>
      <c r="H27" s="2"/>
    </row>
    <row r="28" spans="1:8" ht="375" x14ac:dyDescent="0.25">
      <c r="A28" s="2" t="s">
        <v>297</v>
      </c>
      <c r="B28" s="2" t="s">
        <v>520</v>
      </c>
      <c r="C28" s="103" t="s">
        <v>518</v>
      </c>
      <c r="D28" s="2"/>
      <c r="E28" s="2"/>
      <c r="F28" s="2"/>
      <c r="G28" s="2" t="s">
        <v>529</v>
      </c>
      <c r="H28" s="2"/>
    </row>
    <row r="29" spans="1:8" ht="255" x14ac:dyDescent="0.25">
      <c r="A29" s="2" t="s">
        <v>297</v>
      </c>
      <c r="B29" s="2" t="s">
        <v>521</v>
      </c>
      <c r="C29" s="103" t="s">
        <v>417</v>
      </c>
      <c r="D29" s="2">
        <v>0.05</v>
      </c>
      <c r="E29" s="2" t="s">
        <v>525</v>
      </c>
      <c r="F29" s="2" t="s">
        <v>528</v>
      </c>
      <c r="G29" s="2" t="s">
        <v>46</v>
      </c>
      <c r="H29" s="2" t="s">
        <v>530</v>
      </c>
    </row>
    <row r="30" spans="1:8" ht="45" x14ac:dyDescent="0.25">
      <c r="A30" s="128" t="s">
        <v>534</v>
      </c>
      <c r="B30" s="128" t="s">
        <v>520</v>
      </c>
      <c r="C30" s="129" t="s">
        <v>13</v>
      </c>
      <c r="D30" s="128">
        <v>0.05</v>
      </c>
      <c r="E30" s="128" t="s">
        <v>511</v>
      </c>
      <c r="F30" s="128" t="s">
        <v>509</v>
      </c>
      <c r="G30" s="128"/>
      <c r="H30" s="128"/>
    </row>
    <row r="31" spans="1:8" ht="45" x14ac:dyDescent="0.25">
      <c r="A31" s="128" t="s">
        <v>534</v>
      </c>
      <c r="B31" s="128" t="s">
        <v>520</v>
      </c>
      <c r="C31" s="129" t="s">
        <v>14</v>
      </c>
      <c r="D31" s="128">
        <v>0.05</v>
      </c>
      <c r="E31" s="128" t="s">
        <v>513</v>
      </c>
      <c r="F31" s="128" t="s">
        <v>509</v>
      </c>
      <c r="G31" s="128"/>
      <c r="H31" s="128"/>
    </row>
    <row r="32" spans="1:8" ht="105" x14ac:dyDescent="0.25">
      <c r="A32" s="128" t="s">
        <v>534</v>
      </c>
      <c r="B32" s="128" t="s">
        <v>520</v>
      </c>
      <c r="C32" s="129" t="s">
        <v>510</v>
      </c>
      <c r="D32" s="128" t="s">
        <v>515</v>
      </c>
      <c r="E32" s="128" t="s">
        <v>512</v>
      </c>
      <c r="F32" s="128" t="s">
        <v>531</v>
      </c>
      <c r="G32" s="128"/>
      <c r="H32" s="128"/>
    </row>
    <row r="33" spans="1:8" ht="150" x14ac:dyDescent="0.25">
      <c r="A33" s="128" t="s">
        <v>534</v>
      </c>
      <c r="B33" s="128" t="s">
        <v>520</v>
      </c>
      <c r="C33" s="129" t="s">
        <v>16</v>
      </c>
      <c r="D33" s="128">
        <v>0.1</v>
      </c>
      <c r="E33" s="128" t="s">
        <v>516</v>
      </c>
      <c r="F33" s="128" t="s">
        <v>517</v>
      </c>
      <c r="G33" s="128"/>
      <c r="H33" s="128"/>
    </row>
    <row r="34" spans="1:8" ht="375" x14ac:dyDescent="0.25">
      <c r="A34" s="127" t="s">
        <v>534</v>
      </c>
      <c r="B34" s="2" t="s">
        <v>520</v>
      </c>
      <c r="C34" s="103" t="s">
        <v>518</v>
      </c>
      <c r="D34" s="2"/>
      <c r="E34" s="2"/>
      <c r="F34" s="2"/>
      <c r="G34" s="127" t="s">
        <v>535</v>
      </c>
      <c r="H34" s="2"/>
    </row>
    <row r="35" spans="1:8" ht="255" x14ac:dyDescent="0.25">
      <c r="A35" s="127" t="s">
        <v>534</v>
      </c>
      <c r="B35" s="2" t="s">
        <v>521</v>
      </c>
      <c r="C35" s="103" t="s">
        <v>417</v>
      </c>
      <c r="D35" s="2">
        <v>0.05</v>
      </c>
      <c r="E35" s="2" t="s">
        <v>525</v>
      </c>
      <c r="F35" s="127" t="s">
        <v>536</v>
      </c>
      <c r="G35" s="2" t="s">
        <v>46</v>
      </c>
      <c r="H35" s="2" t="s">
        <v>530</v>
      </c>
    </row>
    <row r="36" spans="1:8" ht="45" x14ac:dyDescent="0.25">
      <c r="A36" s="2" t="s">
        <v>347</v>
      </c>
      <c r="B36" s="2" t="s">
        <v>520</v>
      </c>
      <c r="C36" s="103" t="s">
        <v>13</v>
      </c>
      <c r="D36" s="2">
        <v>0.05</v>
      </c>
      <c r="E36" s="2" t="s">
        <v>511</v>
      </c>
      <c r="F36" s="2" t="s">
        <v>509</v>
      </c>
      <c r="G36" s="2"/>
      <c r="H36" s="2"/>
    </row>
    <row r="37" spans="1:8" ht="45" x14ac:dyDescent="0.25">
      <c r="A37" s="2" t="s">
        <v>347</v>
      </c>
      <c r="B37" s="2" t="s">
        <v>520</v>
      </c>
      <c r="C37" s="103" t="s">
        <v>14</v>
      </c>
      <c r="D37" s="2">
        <v>0.05</v>
      </c>
      <c r="E37" s="2" t="s">
        <v>513</v>
      </c>
      <c r="F37" s="2" t="s">
        <v>509</v>
      </c>
      <c r="G37" s="2"/>
      <c r="H37" s="2"/>
    </row>
    <row r="38" spans="1:8" ht="30" x14ac:dyDescent="0.25">
      <c r="A38" s="2" t="s">
        <v>347</v>
      </c>
      <c r="B38" s="2" t="s">
        <v>520</v>
      </c>
      <c r="C38" s="103" t="s">
        <v>15</v>
      </c>
      <c r="D38" s="2">
        <v>0.05</v>
      </c>
      <c r="E38" s="2" t="s">
        <v>508</v>
      </c>
      <c r="F38" s="2" t="s">
        <v>509</v>
      </c>
      <c r="G38" s="2"/>
      <c r="H38" s="2"/>
    </row>
    <row r="39" spans="1:8" ht="105" x14ac:dyDescent="0.25">
      <c r="A39" s="2" t="s">
        <v>347</v>
      </c>
      <c r="B39" s="2" t="s">
        <v>520</v>
      </c>
      <c r="C39" s="103" t="s">
        <v>510</v>
      </c>
      <c r="D39" s="2" t="s">
        <v>515</v>
      </c>
      <c r="E39" s="2" t="s">
        <v>512</v>
      </c>
      <c r="F39" s="2" t="s">
        <v>531</v>
      </c>
      <c r="G39" s="2"/>
      <c r="H39" s="2"/>
    </row>
    <row r="40" spans="1:8" ht="150" x14ac:dyDescent="0.25">
      <c r="A40" s="2" t="s">
        <v>347</v>
      </c>
      <c r="B40" s="2" t="s">
        <v>520</v>
      </c>
      <c r="C40" s="103" t="s">
        <v>16</v>
      </c>
      <c r="D40" s="2">
        <v>0.1</v>
      </c>
      <c r="E40" s="2" t="s">
        <v>516</v>
      </c>
      <c r="F40" s="2" t="s">
        <v>517</v>
      </c>
      <c r="G40" s="2"/>
      <c r="H40" s="2"/>
    </row>
    <row r="41" spans="1:8" ht="375" x14ac:dyDescent="0.25">
      <c r="A41" s="131" t="s">
        <v>538</v>
      </c>
      <c r="B41" s="131" t="s">
        <v>520</v>
      </c>
      <c r="C41" s="106" t="s">
        <v>518</v>
      </c>
      <c r="D41" s="131"/>
      <c r="E41" s="131"/>
      <c r="F41" s="131"/>
      <c r="G41" s="131" t="s">
        <v>529</v>
      </c>
      <c r="H41" s="131"/>
    </row>
    <row r="42" spans="1:8" ht="255" x14ac:dyDescent="0.25">
      <c r="A42" s="2" t="s">
        <v>347</v>
      </c>
      <c r="B42" s="2" t="s">
        <v>521</v>
      </c>
      <c r="C42" s="103" t="s">
        <v>417</v>
      </c>
      <c r="D42" s="2">
        <v>0.05</v>
      </c>
      <c r="E42" s="2" t="s">
        <v>525</v>
      </c>
      <c r="F42" s="2" t="s">
        <v>528</v>
      </c>
      <c r="G42" s="2" t="s">
        <v>46</v>
      </c>
      <c r="H42" s="2" t="s">
        <v>530</v>
      </c>
    </row>
    <row r="43" spans="1:8" ht="165" x14ac:dyDescent="0.25">
      <c r="A43" s="131" t="s">
        <v>541</v>
      </c>
      <c r="B43" s="131" t="s">
        <v>521</v>
      </c>
      <c r="C43" s="131" t="s">
        <v>522</v>
      </c>
      <c r="D43" s="131"/>
      <c r="E43" s="131" t="s">
        <v>522</v>
      </c>
      <c r="F43" s="131" t="s">
        <v>539</v>
      </c>
      <c r="G43" s="131" t="s">
        <v>46</v>
      </c>
      <c r="H43" s="131"/>
    </row>
    <row r="44" spans="1:8" ht="165" x14ac:dyDescent="0.25">
      <c r="A44" s="131" t="s">
        <v>541</v>
      </c>
      <c r="B44" s="131" t="s">
        <v>521</v>
      </c>
      <c r="C44" s="131" t="s">
        <v>523</v>
      </c>
      <c r="D44" s="131"/>
      <c r="E44" s="131" t="s">
        <v>524</v>
      </c>
      <c r="F44" s="131" t="s">
        <v>540</v>
      </c>
      <c r="G44" s="131" t="s">
        <v>46</v>
      </c>
      <c r="H44" s="131"/>
    </row>
    <row r="45" spans="1:8" ht="45" x14ac:dyDescent="0.25">
      <c r="A45" s="2" t="s">
        <v>421</v>
      </c>
      <c r="B45" s="2" t="s">
        <v>520</v>
      </c>
      <c r="C45" s="103" t="s">
        <v>13</v>
      </c>
      <c r="D45" s="2">
        <v>0.05</v>
      </c>
      <c r="E45" s="2" t="s">
        <v>511</v>
      </c>
      <c r="F45" s="2" t="s">
        <v>509</v>
      </c>
      <c r="G45" s="2"/>
      <c r="H45" s="2"/>
    </row>
    <row r="46" spans="1:8" ht="45" x14ac:dyDescent="0.25">
      <c r="A46" s="2" t="s">
        <v>421</v>
      </c>
      <c r="B46" s="2" t="s">
        <v>520</v>
      </c>
      <c r="C46" s="103" t="s">
        <v>14</v>
      </c>
      <c r="D46" s="2">
        <v>0.05</v>
      </c>
      <c r="E46" s="2" t="s">
        <v>513</v>
      </c>
      <c r="F46" s="2" t="s">
        <v>509</v>
      </c>
      <c r="G46" s="2"/>
      <c r="H46" s="2"/>
    </row>
    <row r="47" spans="1:8" ht="30" x14ac:dyDescent="0.25">
      <c r="A47" s="2" t="s">
        <v>421</v>
      </c>
      <c r="B47" s="2" t="s">
        <v>520</v>
      </c>
      <c r="C47" s="103" t="s">
        <v>15</v>
      </c>
      <c r="D47" s="2">
        <v>0.05</v>
      </c>
      <c r="E47" s="2" t="s">
        <v>508</v>
      </c>
      <c r="F47" s="2" t="s">
        <v>509</v>
      </c>
      <c r="G47" s="2"/>
      <c r="H47" s="2"/>
    </row>
    <row r="48" spans="1:8" ht="105" x14ac:dyDescent="0.25">
      <c r="A48" s="2" t="s">
        <v>421</v>
      </c>
      <c r="B48" s="2" t="s">
        <v>520</v>
      </c>
      <c r="C48" s="103" t="s">
        <v>510</v>
      </c>
      <c r="D48" s="2" t="s">
        <v>515</v>
      </c>
      <c r="E48" s="2" t="s">
        <v>512</v>
      </c>
      <c r="F48" s="2" t="s">
        <v>531</v>
      </c>
      <c r="G48" s="2"/>
      <c r="H48" s="2"/>
    </row>
    <row r="49" spans="1:8" ht="150" x14ac:dyDescent="0.25">
      <c r="A49" s="2" t="s">
        <v>421</v>
      </c>
      <c r="B49" s="2" t="s">
        <v>520</v>
      </c>
      <c r="C49" s="103" t="s">
        <v>16</v>
      </c>
      <c r="D49" s="2">
        <v>0.1</v>
      </c>
      <c r="E49" s="2" t="s">
        <v>516</v>
      </c>
      <c r="F49" s="2" t="s">
        <v>517</v>
      </c>
      <c r="G49" s="2"/>
      <c r="H49" s="2"/>
    </row>
    <row r="50" spans="1:8" ht="375" x14ac:dyDescent="0.25">
      <c r="A50" s="2" t="s">
        <v>421</v>
      </c>
      <c r="B50" s="2" t="s">
        <v>520</v>
      </c>
      <c r="C50" s="103" t="s">
        <v>518</v>
      </c>
      <c r="D50" s="2"/>
      <c r="E50" s="2"/>
      <c r="F50" s="2"/>
      <c r="G50" s="2" t="s">
        <v>529</v>
      </c>
      <c r="H50" s="2"/>
    </row>
    <row r="51" spans="1:8" ht="255" x14ac:dyDescent="0.25">
      <c r="A51" s="133" t="s">
        <v>421</v>
      </c>
      <c r="B51" s="133" t="s">
        <v>521</v>
      </c>
      <c r="C51" s="134" t="s">
        <v>417</v>
      </c>
      <c r="D51" s="133">
        <v>0.05</v>
      </c>
      <c r="E51" s="2" t="s">
        <v>525</v>
      </c>
      <c r="F51" s="2" t="s">
        <v>528</v>
      </c>
      <c r="G51" s="2" t="s">
        <v>46</v>
      </c>
      <c r="H51" s="2" t="s">
        <v>530</v>
      </c>
    </row>
    <row r="52" spans="1:8" ht="105" x14ac:dyDescent="0.25">
      <c r="A52" s="132" t="s">
        <v>542</v>
      </c>
      <c r="B52" s="132" t="s">
        <v>537</v>
      </c>
      <c r="C52" s="132" t="s">
        <v>545</v>
      </c>
      <c r="D52" s="132" t="s">
        <v>543</v>
      </c>
      <c r="E52" s="130" t="s">
        <v>548</v>
      </c>
    </row>
    <row r="53" spans="1:8" ht="45" customHeight="1" x14ac:dyDescent="0.25">
      <c r="A53" s="127" t="s">
        <v>549</v>
      </c>
      <c r="B53" s="127" t="s">
        <v>537</v>
      </c>
      <c r="C53" s="127" t="s">
        <v>546</v>
      </c>
      <c r="D53" s="127" t="s">
        <v>544</v>
      </c>
      <c r="E53" s="132" t="s">
        <v>547</v>
      </c>
    </row>
    <row r="54" spans="1:8" x14ac:dyDescent="0.25">
      <c r="A54" s="136"/>
      <c r="B54" s="135"/>
      <c r="E54" s="132">
        <v>1512</v>
      </c>
    </row>
    <row r="55" spans="1:8" x14ac:dyDescent="0.25">
      <c r="E55" s="132">
        <v>1513</v>
      </c>
    </row>
    <row r="56" spans="1:8" x14ac:dyDescent="0.25">
      <c r="E56" s="132">
        <v>1514</v>
      </c>
    </row>
    <row r="57" spans="1:8" x14ac:dyDescent="0.25">
      <c r="E57" s="132">
        <v>1515</v>
      </c>
    </row>
    <row r="58" spans="1:8" x14ac:dyDescent="0.25">
      <c r="E58" s="132">
        <v>1521</v>
      </c>
    </row>
    <row r="59" spans="1:8" x14ac:dyDescent="0.25">
      <c r="E59" s="132">
        <v>1522</v>
      </c>
    </row>
    <row r="60" spans="1:8" x14ac:dyDescent="0.25">
      <c r="E60" s="132">
        <v>1523</v>
      </c>
    </row>
    <row r="61" spans="1:8" x14ac:dyDescent="0.25">
      <c r="E61" s="132">
        <v>1524</v>
      </c>
    </row>
    <row r="62" spans="1:8" x14ac:dyDescent="0.25">
      <c r="E62" s="132">
        <v>1525</v>
      </c>
    </row>
    <row r="63" spans="1:8" x14ac:dyDescent="0.25">
      <c r="E63" s="132">
        <v>1526</v>
      </c>
    </row>
    <row r="64" spans="1:8" x14ac:dyDescent="0.25">
      <c r="E64" s="132">
        <v>1527</v>
      </c>
    </row>
    <row r="65" spans="5:5" x14ac:dyDescent="0.25">
      <c r="E65" s="132">
        <v>1528</v>
      </c>
    </row>
    <row r="66" spans="5:5" x14ac:dyDescent="0.25">
      <c r="E66" s="132">
        <v>1531</v>
      </c>
    </row>
    <row r="67" spans="5:5" x14ac:dyDescent="0.25">
      <c r="E67" s="132">
        <v>1532</v>
      </c>
    </row>
    <row r="68" spans="5:5" x14ac:dyDescent="0.25">
      <c r="E68" s="132">
        <v>1533</v>
      </c>
    </row>
    <row r="69" spans="5:5" x14ac:dyDescent="0.25">
      <c r="E69" s="132">
        <v>1534</v>
      </c>
    </row>
    <row r="70" spans="5:5" x14ac:dyDescent="0.25">
      <c r="E70" s="132">
        <v>1535</v>
      </c>
    </row>
    <row r="71" spans="5:5" x14ac:dyDescent="0.25">
      <c r="E71" s="132">
        <v>1536</v>
      </c>
    </row>
    <row r="72" spans="5:5" x14ac:dyDescent="0.25">
      <c r="E72" s="132">
        <v>1537</v>
      </c>
    </row>
    <row r="73" spans="5:5" x14ac:dyDescent="0.25">
      <c r="E73" s="132">
        <v>1621</v>
      </c>
    </row>
    <row r="74" spans="5:5" x14ac:dyDescent="0.25">
      <c r="E74" s="132">
        <v>1622</v>
      </c>
    </row>
    <row r="75" spans="5:5" x14ac:dyDescent="0.25">
      <c r="E75" s="132">
        <v>1623</v>
      </c>
    </row>
    <row r="76" spans="5:5" x14ac:dyDescent="0.25">
      <c r="E76" s="132">
        <v>1624</v>
      </c>
    </row>
    <row r="77" spans="5:5" x14ac:dyDescent="0.25">
      <c r="E77" s="132">
        <v>1625</v>
      </c>
    </row>
    <row r="78" spans="5:5" x14ac:dyDescent="0.25">
      <c r="E78" s="132">
        <v>1631</v>
      </c>
    </row>
    <row r="79" spans="5:5" x14ac:dyDescent="0.25">
      <c r="E79" s="132">
        <v>1632</v>
      </c>
    </row>
    <row r="80" spans="5:5" x14ac:dyDescent="0.25">
      <c r="E80" s="132">
        <v>1633</v>
      </c>
    </row>
    <row r="81" spans="5:5" x14ac:dyDescent="0.25">
      <c r="E81" s="132">
        <v>1634</v>
      </c>
    </row>
    <row r="82" spans="5:5" x14ac:dyDescent="0.25">
      <c r="E82" s="132">
        <v>1635</v>
      </c>
    </row>
    <row r="83" spans="5:5" x14ac:dyDescent="0.25">
      <c r="E83" s="132">
        <v>1636</v>
      </c>
    </row>
    <row r="84" spans="5:5" x14ac:dyDescent="0.25">
      <c r="E84" s="132">
        <v>1637</v>
      </c>
    </row>
    <row r="85" spans="5:5" x14ac:dyDescent="0.25">
      <c r="E85" s="132">
        <v>1638</v>
      </c>
    </row>
    <row r="86" spans="5:5" x14ac:dyDescent="0.25">
      <c r="E86" s="132">
        <v>1711</v>
      </c>
    </row>
    <row r="87" spans="5:5" x14ac:dyDescent="0.25">
      <c r="E87" s="132">
        <v>1712</v>
      </c>
    </row>
    <row r="88" spans="5:5" x14ac:dyDescent="0.25">
      <c r="E88" s="132">
        <v>1713</v>
      </c>
    </row>
    <row r="89" spans="5:5" x14ac:dyDescent="0.25">
      <c r="E89" s="132">
        <v>1714</v>
      </c>
    </row>
    <row r="90" spans="5:5" x14ac:dyDescent="0.25">
      <c r="E90" s="132">
        <v>1715</v>
      </c>
    </row>
    <row r="91" spans="5:5" x14ac:dyDescent="0.25">
      <c r="E91" s="132">
        <v>1716</v>
      </c>
    </row>
    <row r="92" spans="5:5" x14ac:dyDescent="0.25">
      <c r="E92" s="132">
        <v>1717</v>
      </c>
    </row>
    <row r="93" spans="5:5" x14ac:dyDescent="0.25">
      <c r="E93" s="132">
        <v>1718</v>
      </c>
    </row>
    <row r="94" spans="5:5" x14ac:dyDescent="0.25">
      <c r="E94" s="132">
        <v>1719</v>
      </c>
    </row>
    <row r="95" spans="5:5" x14ac:dyDescent="0.25">
      <c r="E95" s="132">
        <v>1720</v>
      </c>
    </row>
    <row r="96" spans="5:5" x14ac:dyDescent="0.25">
      <c r="E96" s="132">
        <v>1731</v>
      </c>
    </row>
    <row r="97" spans="5:5" x14ac:dyDescent="0.25">
      <c r="E97" s="132">
        <v>1732</v>
      </c>
    </row>
    <row r="98" spans="5:5" x14ac:dyDescent="0.25">
      <c r="E98" s="132">
        <v>1733</v>
      </c>
    </row>
    <row r="99" spans="5:5" x14ac:dyDescent="0.25">
      <c r="E99" s="132">
        <v>1734</v>
      </c>
    </row>
    <row r="100" spans="5:5" x14ac:dyDescent="0.25">
      <c r="E100" s="132">
        <v>1735</v>
      </c>
    </row>
    <row r="101" spans="5:5" x14ac:dyDescent="0.25">
      <c r="E101" s="132">
        <v>1736</v>
      </c>
    </row>
    <row r="102" spans="5:5" x14ac:dyDescent="0.25">
      <c r="E102" s="132">
        <v>1741</v>
      </c>
    </row>
    <row r="103" spans="5:5" x14ac:dyDescent="0.25">
      <c r="E103" s="132">
        <v>1742</v>
      </c>
    </row>
    <row r="104" spans="5:5" x14ac:dyDescent="0.25">
      <c r="E104" s="132">
        <v>1743</v>
      </c>
    </row>
    <row r="105" spans="5:5" x14ac:dyDescent="0.25">
      <c r="E105" s="132">
        <v>1744</v>
      </c>
    </row>
    <row r="106" spans="5:5" x14ac:dyDescent="0.25">
      <c r="E106" s="132">
        <v>1745</v>
      </c>
    </row>
    <row r="107" spans="5:5" x14ac:dyDescent="0.25">
      <c r="E107" s="132">
        <v>1751</v>
      </c>
    </row>
    <row r="108" spans="5:5" x14ac:dyDescent="0.25">
      <c r="E108" s="132">
        <v>1752</v>
      </c>
    </row>
    <row r="109" spans="5:5" x14ac:dyDescent="0.25">
      <c r="E109" s="132">
        <v>1753</v>
      </c>
    </row>
    <row r="110" spans="5:5" x14ac:dyDescent="0.25">
      <c r="E110" s="132">
        <v>1754</v>
      </c>
    </row>
    <row r="111" spans="5:5" x14ac:dyDescent="0.25">
      <c r="E111" s="132">
        <v>1755</v>
      </c>
    </row>
    <row r="112" spans="5:5" x14ac:dyDescent="0.25">
      <c r="E112" s="132">
        <v>1756</v>
      </c>
    </row>
    <row r="113" spans="5:5" x14ac:dyDescent="0.25">
      <c r="E113" s="132">
        <v>1757</v>
      </c>
    </row>
    <row r="114" spans="5:5" x14ac:dyDescent="0.25">
      <c r="E114" s="132">
        <v>1761</v>
      </c>
    </row>
    <row r="115" spans="5:5" x14ac:dyDescent="0.25">
      <c r="E115" s="132">
        <v>1762</v>
      </c>
    </row>
    <row r="116" spans="5:5" x14ac:dyDescent="0.25">
      <c r="E116" s="132">
        <v>1763</v>
      </c>
    </row>
    <row r="117" spans="5:5" x14ac:dyDescent="0.25">
      <c r="E117" s="132">
        <v>1764</v>
      </c>
    </row>
    <row r="118" spans="5:5" x14ac:dyDescent="0.25">
      <c r="E118" s="132">
        <v>1765</v>
      </c>
    </row>
    <row r="119" spans="5:5" x14ac:dyDescent="0.25">
      <c r="E119" s="132">
        <v>1766</v>
      </c>
    </row>
    <row r="120" spans="5:5" x14ac:dyDescent="0.25">
      <c r="E120" s="132">
        <v>1770</v>
      </c>
    </row>
    <row r="121" spans="5:5" x14ac:dyDescent="0.25">
      <c r="E121" s="132">
        <v>1771</v>
      </c>
    </row>
    <row r="122" spans="5:5" x14ac:dyDescent="0.25">
      <c r="E122" s="132">
        <v>1772</v>
      </c>
    </row>
    <row r="123" spans="5:5" x14ac:dyDescent="0.25">
      <c r="E123" s="132">
        <v>1773</v>
      </c>
    </row>
    <row r="124" spans="5:5" x14ac:dyDescent="0.25">
      <c r="E124" s="132">
        <v>1774</v>
      </c>
    </row>
    <row r="125" spans="5:5" x14ac:dyDescent="0.25">
      <c r="E125" s="132">
        <v>1775</v>
      </c>
    </row>
    <row r="126" spans="5:5" x14ac:dyDescent="0.25">
      <c r="E126" s="132">
        <v>1776</v>
      </c>
    </row>
    <row r="127" spans="5:5" x14ac:dyDescent="0.25">
      <c r="E127" s="132">
        <v>1777</v>
      </c>
    </row>
    <row r="128" spans="5:5" x14ac:dyDescent="0.25">
      <c r="E128" s="132">
        <v>1778</v>
      </c>
    </row>
    <row r="129" spans="5:5" x14ac:dyDescent="0.25">
      <c r="E129" s="132">
        <v>1779</v>
      </c>
    </row>
    <row r="130" spans="5:5" x14ac:dyDescent="0.25">
      <c r="E130" s="132">
        <v>1780</v>
      </c>
    </row>
    <row r="131" spans="5:5" x14ac:dyDescent="0.25">
      <c r="E131" s="132">
        <v>1781</v>
      </c>
    </row>
    <row r="132" spans="5:5" x14ac:dyDescent="0.25">
      <c r="E132" s="132">
        <v>1782</v>
      </c>
    </row>
    <row r="133" spans="5:5" x14ac:dyDescent="0.25">
      <c r="E133" s="132">
        <v>1783</v>
      </c>
    </row>
    <row r="134" spans="5:5" x14ac:dyDescent="0.25">
      <c r="E134" s="132">
        <v>1811</v>
      </c>
    </row>
    <row r="135" spans="5:5" x14ac:dyDescent="0.25">
      <c r="E135" s="132">
        <v>1812</v>
      </c>
    </row>
    <row r="136" spans="5:5" x14ac:dyDescent="0.25">
      <c r="E136" s="132">
        <v>1813</v>
      </c>
    </row>
    <row r="137" spans="5:5" x14ac:dyDescent="0.25">
      <c r="E137" s="132">
        <v>1814</v>
      </c>
    </row>
    <row r="138" spans="5:5" x14ac:dyDescent="0.25">
      <c r="E138" s="132">
        <v>1830</v>
      </c>
    </row>
    <row r="139" spans="5:5" x14ac:dyDescent="0.25">
      <c r="E139" s="132">
        <v>1831</v>
      </c>
    </row>
    <row r="140" spans="5:5" x14ac:dyDescent="0.25">
      <c r="E140" s="132">
        <v>2353</v>
      </c>
    </row>
    <row r="141" spans="5:5" x14ac:dyDescent="0.25">
      <c r="E141" s="132">
        <v>7411</v>
      </c>
    </row>
    <row r="142" spans="5:5" x14ac:dyDescent="0.25">
      <c r="E142" s="132">
        <v>7412</v>
      </c>
    </row>
    <row r="143" spans="5:5" x14ac:dyDescent="0.25">
      <c r="E143" s="132">
        <v>7413</v>
      </c>
    </row>
    <row r="144" spans="5:5" x14ac:dyDescent="0.25">
      <c r="E144" s="132">
        <v>7414</v>
      </c>
    </row>
    <row r="145" spans="5:5" x14ac:dyDescent="0.25">
      <c r="E145" s="132">
        <v>7415</v>
      </c>
    </row>
    <row r="146" spans="5:5" x14ac:dyDescent="0.25">
      <c r="E146" s="132">
        <v>7416</v>
      </c>
    </row>
    <row r="147" spans="5:5" x14ac:dyDescent="0.25">
      <c r="E147" s="132">
        <v>7417</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FF0000"/>
  </sheetPr>
  <dimension ref="A1:AC18"/>
  <sheetViews>
    <sheetView workbookViewId="0">
      <selection activeCell="G25" sqref="G25"/>
    </sheetView>
  </sheetViews>
  <sheetFormatPr defaultColWidth="9.140625" defaultRowHeight="15" x14ac:dyDescent="0.25"/>
  <cols>
    <col min="1" max="1" width="20.42578125" style="3" bestFit="1" customWidth="1"/>
    <col min="2" max="2" width="17.28515625" style="3" bestFit="1" customWidth="1"/>
    <col min="3" max="3" width="19.42578125" style="3" bestFit="1" customWidth="1"/>
    <col min="4" max="4" width="16.140625" style="3" bestFit="1" customWidth="1"/>
    <col min="5" max="5" width="16.140625" style="3" customWidth="1"/>
    <col min="6" max="6" width="21.42578125" style="3" bestFit="1" customWidth="1"/>
    <col min="7" max="7" width="24.7109375" style="3" bestFit="1" customWidth="1"/>
    <col min="8" max="8" width="17.42578125" style="3" customWidth="1"/>
    <col min="9" max="9" width="11.28515625" style="3" bestFit="1" customWidth="1"/>
    <col min="10" max="10" width="26.28515625" style="3" bestFit="1" customWidth="1"/>
    <col min="11" max="11" width="22.7109375" style="3" customWidth="1"/>
    <col min="12" max="12" width="32.42578125" style="3" bestFit="1" customWidth="1"/>
    <col min="13" max="28" width="12.7109375" style="3" customWidth="1"/>
    <col min="29" max="29" width="71.5703125" style="3" customWidth="1"/>
    <col min="30" max="16384" width="9.140625" style="3"/>
  </cols>
  <sheetData>
    <row r="1" spans="1:29" x14ac:dyDescent="0.25">
      <c r="A1" s="4"/>
      <c r="B1" s="4"/>
      <c r="C1" s="4"/>
      <c r="D1" s="4"/>
      <c r="E1" s="4"/>
      <c r="F1" s="4"/>
      <c r="G1" s="4"/>
      <c r="H1" s="4"/>
      <c r="I1" s="4"/>
      <c r="J1" s="4"/>
      <c r="K1" s="4" t="s">
        <v>476</v>
      </c>
      <c r="L1" s="4"/>
      <c r="M1" s="4" t="s">
        <v>23</v>
      </c>
      <c r="N1" s="4"/>
      <c r="O1" s="4"/>
      <c r="P1" s="4"/>
      <c r="Q1" s="4"/>
      <c r="R1" s="4"/>
      <c r="S1" s="4"/>
      <c r="T1" s="4"/>
      <c r="U1" s="4"/>
      <c r="V1" s="4"/>
      <c r="W1" s="4"/>
      <c r="X1" s="4"/>
      <c r="Y1" s="4"/>
      <c r="Z1" s="4"/>
      <c r="AA1" s="4"/>
      <c r="AB1" s="4"/>
      <c r="AC1" s="4"/>
    </row>
    <row r="2" spans="1:29" ht="75" x14ac:dyDescent="0.25">
      <c r="A2" s="123" t="s">
        <v>9</v>
      </c>
      <c r="B2" s="123" t="s">
        <v>467</v>
      </c>
      <c r="C2" s="123" t="s">
        <v>1</v>
      </c>
      <c r="D2" s="123" t="s">
        <v>468</v>
      </c>
      <c r="E2" s="123" t="s">
        <v>487</v>
      </c>
      <c r="F2" s="123" t="s">
        <v>469</v>
      </c>
      <c r="G2" s="123" t="s">
        <v>483</v>
      </c>
      <c r="H2" s="81" t="s">
        <v>470</v>
      </c>
      <c r="I2" s="123" t="s">
        <v>471</v>
      </c>
      <c r="J2" s="123" t="s">
        <v>472</v>
      </c>
      <c r="K2" s="123" t="s">
        <v>475</v>
      </c>
      <c r="L2" s="123" t="s">
        <v>229</v>
      </c>
      <c r="M2" s="111" t="s">
        <v>55</v>
      </c>
      <c r="N2" s="111" t="s">
        <v>56</v>
      </c>
      <c r="O2" s="111" t="s">
        <v>57</v>
      </c>
      <c r="P2" s="111" t="s">
        <v>58</v>
      </c>
      <c r="Q2" s="111" t="s">
        <v>59</v>
      </c>
      <c r="R2" s="111" t="s">
        <v>60</v>
      </c>
      <c r="S2" s="111" t="s">
        <v>61</v>
      </c>
      <c r="T2" s="111" t="s">
        <v>62</v>
      </c>
      <c r="U2" s="111" t="s">
        <v>80</v>
      </c>
      <c r="V2" s="111" t="s">
        <v>81</v>
      </c>
      <c r="W2" s="111" t="s">
        <v>82</v>
      </c>
      <c r="X2" s="111" t="s">
        <v>83</v>
      </c>
      <c r="Y2" s="111" t="s">
        <v>84</v>
      </c>
      <c r="Z2" s="111" t="s">
        <v>85</v>
      </c>
      <c r="AA2" s="111" t="s">
        <v>86</v>
      </c>
      <c r="AB2" s="111" t="s">
        <v>87</v>
      </c>
      <c r="AC2" s="111" t="s">
        <v>479</v>
      </c>
    </row>
    <row r="3" spans="1:29" ht="75" x14ac:dyDescent="0.25">
      <c r="A3" s="4" t="s">
        <v>466</v>
      </c>
      <c r="B3" s="4" t="s">
        <v>473</v>
      </c>
      <c r="C3" s="4" t="s">
        <v>198</v>
      </c>
      <c r="D3" s="64">
        <v>10000</v>
      </c>
      <c r="E3" s="64"/>
      <c r="F3" s="64">
        <v>10000</v>
      </c>
      <c r="G3" s="64">
        <v>5000</v>
      </c>
      <c r="H3" s="64">
        <v>1000</v>
      </c>
      <c r="I3" s="64">
        <v>1000000</v>
      </c>
      <c r="J3" s="64">
        <v>250</v>
      </c>
      <c r="K3" s="4" t="s">
        <v>481</v>
      </c>
      <c r="L3" s="4" t="s">
        <v>480</v>
      </c>
      <c r="M3" s="9" t="s">
        <v>63</v>
      </c>
      <c r="N3" s="9" t="s">
        <v>64</v>
      </c>
      <c r="O3" s="9" t="s">
        <v>65</v>
      </c>
      <c r="P3" s="9" t="s">
        <v>67</v>
      </c>
      <c r="Q3" s="9" t="s">
        <v>68</v>
      </c>
      <c r="R3" s="9" t="s">
        <v>69</v>
      </c>
      <c r="S3" s="9" t="s">
        <v>70</v>
      </c>
      <c r="T3" s="9" t="s">
        <v>66</v>
      </c>
      <c r="U3" s="64">
        <v>2500</v>
      </c>
      <c r="V3" s="64">
        <v>321</v>
      </c>
      <c r="W3" s="64">
        <v>2500</v>
      </c>
      <c r="X3" s="64" t="s">
        <v>46</v>
      </c>
      <c r="Y3" s="64">
        <v>1000</v>
      </c>
      <c r="Z3" s="64">
        <v>82</v>
      </c>
      <c r="AA3" s="64">
        <v>1000</v>
      </c>
      <c r="AB3" s="64">
        <v>114</v>
      </c>
      <c r="AC3" s="4"/>
    </row>
    <row r="4" spans="1:29" ht="60" x14ac:dyDescent="0.25">
      <c r="A4" s="4" t="s">
        <v>466</v>
      </c>
      <c r="B4" s="4" t="s">
        <v>473</v>
      </c>
      <c r="C4" s="4" t="s">
        <v>474</v>
      </c>
      <c r="D4" s="64">
        <v>10000</v>
      </c>
      <c r="E4" s="64"/>
      <c r="F4" s="64">
        <v>10000</v>
      </c>
      <c r="G4" s="64">
        <v>5000</v>
      </c>
      <c r="H4" s="64">
        <v>1000</v>
      </c>
      <c r="I4" s="64">
        <v>1000000</v>
      </c>
      <c r="J4" s="64">
        <v>270</v>
      </c>
      <c r="K4" s="4" t="s">
        <v>482</v>
      </c>
      <c r="L4" s="4"/>
      <c r="M4" s="9" t="s">
        <v>78</v>
      </c>
      <c r="N4" s="9" t="s">
        <v>77</v>
      </c>
      <c r="O4" s="9" t="s">
        <v>71</v>
      </c>
      <c r="P4" s="9" t="s">
        <v>72</v>
      </c>
      <c r="Q4" s="9" t="s">
        <v>73</v>
      </c>
      <c r="R4" s="9" t="s">
        <v>74</v>
      </c>
      <c r="S4" s="9" t="s">
        <v>76</v>
      </c>
      <c r="T4" s="9" t="s">
        <v>75</v>
      </c>
      <c r="U4" s="64">
        <v>5000</v>
      </c>
      <c r="V4" s="64">
        <v>264</v>
      </c>
      <c r="W4" s="64">
        <v>5000</v>
      </c>
      <c r="X4" s="64">
        <v>534</v>
      </c>
      <c r="Y4" s="64">
        <v>2500</v>
      </c>
      <c r="Z4" s="64">
        <v>81</v>
      </c>
      <c r="AA4" s="64">
        <v>2500</v>
      </c>
      <c r="AB4" s="64">
        <v>113</v>
      </c>
      <c r="AC4" s="4"/>
    </row>
    <row r="5" spans="1:29" x14ac:dyDescent="0.25">
      <c r="A5" s="4" t="s">
        <v>466</v>
      </c>
      <c r="B5" s="4" t="s">
        <v>473</v>
      </c>
      <c r="C5" s="4" t="s">
        <v>198</v>
      </c>
      <c r="D5" s="64">
        <v>10000</v>
      </c>
      <c r="E5" s="64">
        <v>50</v>
      </c>
      <c r="F5" s="64">
        <v>10000</v>
      </c>
      <c r="G5" s="64">
        <v>5000</v>
      </c>
      <c r="H5" s="64">
        <v>1000</v>
      </c>
      <c r="I5" s="64">
        <v>2000000</v>
      </c>
      <c r="J5" s="64">
        <v>275</v>
      </c>
      <c r="K5" s="4" t="s">
        <v>481</v>
      </c>
      <c r="L5" s="4"/>
      <c r="M5" s="64"/>
      <c r="N5" s="64"/>
      <c r="O5" s="64"/>
      <c r="P5" s="64"/>
      <c r="Q5" s="64"/>
      <c r="R5" s="64"/>
      <c r="S5" s="64"/>
      <c r="T5" s="64"/>
      <c r="U5" s="64">
        <v>10000</v>
      </c>
      <c r="V5" s="64">
        <v>235</v>
      </c>
      <c r="W5" s="64">
        <v>10000</v>
      </c>
      <c r="X5" s="64">
        <v>304</v>
      </c>
      <c r="Y5" s="64">
        <v>5000</v>
      </c>
      <c r="Z5" s="64">
        <v>78</v>
      </c>
      <c r="AA5" s="64">
        <v>5000</v>
      </c>
      <c r="AB5" s="64">
        <v>111</v>
      </c>
      <c r="AC5" s="4"/>
    </row>
    <row r="6" spans="1:29" x14ac:dyDescent="0.25">
      <c r="A6" s="4" t="s">
        <v>466</v>
      </c>
      <c r="B6" s="4" t="s">
        <v>473</v>
      </c>
      <c r="C6" s="4" t="s">
        <v>474</v>
      </c>
      <c r="D6" s="64">
        <v>10000</v>
      </c>
      <c r="E6" s="64">
        <v>70</v>
      </c>
      <c r="F6" s="64">
        <v>10000</v>
      </c>
      <c r="G6" s="64">
        <v>5000</v>
      </c>
      <c r="H6" s="64">
        <v>1000</v>
      </c>
      <c r="I6" s="64">
        <v>2000000</v>
      </c>
      <c r="J6" s="64">
        <v>295</v>
      </c>
      <c r="K6" s="4" t="s">
        <v>482</v>
      </c>
      <c r="L6" s="4"/>
      <c r="M6" s="64"/>
      <c r="N6" s="64"/>
      <c r="O6" s="64"/>
      <c r="P6" s="64"/>
      <c r="Q6" s="64"/>
      <c r="R6" s="64"/>
      <c r="S6" s="64"/>
      <c r="T6" s="64"/>
      <c r="U6" s="4"/>
      <c r="V6" s="64" t="s">
        <v>23</v>
      </c>
      <c r="W6" s="64" t="s">
        <v>23</v>
      </c>
      <c r="X6" s="64"/>
      <c r="Y6" s="64"/>
      <c r="Z6" s="64"/>
      <c r="AA6" s="64">
        <v>10000</v>
      </c>
      <c r="AB6" s="64">
        <v>108</v>
      </c>
      <c r="AC6" s="4"/>
    </row>
    <row r="7" spans="1:29" x14ac:dyDescent="0.25">
      <c r="A7" s="4" t="s">
        <v>466</v>
      </c>
      <c r="B7" s="4" t="s">
        <v>477</v>
      </c>
      <c r="C7" s="4" t="s">
        <v>198</v>
      </c>
      <c r="D7" s="64">
        <v>20000</v>
      </c>
      <c r="E7" s="64">
        <v>95</v>
      </c>
      <c r="F7" s="64">
        <v>12000</v>
      </c>
      <c r="G7" s="64">
        <v>5000</v>
      </c>
      <c r="H7" s="64">
        <v>1000</v>
      </c>
      <c r="I7" s="64">
        <v>1000000</v>
      </c>
      <c r="J7" s="64">
        <v>295</v>
      </c>
      <c r="K7" s="4" t="s">
        <v>481</v>
      </c>
      <c r="L7" s="4"/>
      <c r="M7" s="4"/>
      <c r="N7" s="4"/>
      <c r="O7" s="4"/>
      <c r="P7" s="4"/>
      <c r="Q7" s="4"/>
      <c r="R7" s="4"/>
      <c r="S7" s="4"/>
      <c r="T7" s="4"/>
      <c r="U7" s="4"/>
      <c r="V7" s="4"/>
      <c r="W7" s="4"/>
      <c r="X7" s="4"/>
      <c r="Y7" s="4"/>
      <c r="Z7" s="4"/>
      <c r="AA7" s="4"/>
      <c r="AB7" s="4"/>
      <c r="AC7" s="4"/>
    </row>
    <row r="8" spans="1:29" x14ac:dyDescent="0.25">
      <c r="A8" s="4" t="s">
        <v>466</v>
      </c>
      <c r="B8" s="4" t="s">
        <v>477</v>
      </c>
      <c r="C8" s="4" t="s">
        <v>474</v>
      </c>
      <c r="D8" s="64">
        <v>20000</v>
      </c>
      <c r="E8" s="64">
        <v>120</v>
      </c>
      <c r="F8" s="64">
        <v>12000</v>
      </c>
      <c r="G8" s="64">
        <v>5000</v>
      </c>
      <c r="H8" s="64">
        <v>1000</v>
      </c>
      <c r="I8" s="64">
        <v>1000000</v>
      </c>
      <c r="J8" s="64">
        <v>320</v>
      </c>
      <c r="K8" s="4" t="s">
        <v>481</v>
      </c>
      <c r="L8" s="4"/>
      <c r="M8" s="4"/>
      <c r="N8" s="4"/>
      <c r="O8" s="4"/>
      <c r="P8" s="4"/>
      <c r="Q8" s="4"/>
      <c r="R8" s="4"/>
      <c r="S8" s="4"/>
      <c r="T8" s="4"/>
      <c r="U8" s="4"/>
      <c r="V8" s="4"/>
      <c r="W8" s="4"/>
      <c r="X8" s="4"/>
      <c r="Y8" s="4"/>
      <c r="Z8" s="4"/>
      <c r="AA8" s="4"/>
      <c r="AB8" s="4"/>
      <c r="AC8" s="4"/>
    </row>
    <row r="9" spans="1:29" x14ac:dyDescent="0.25">
      <c r="A9" s="4" t="s">
        <v>466</v>
      </c>
      <c r="B9" s="4" t="s">
        <v>477</v>
      </c>
      <c r="C9" s="4" t="s">
        <v>198</v>
      </c>
      <c r="D9" s="64">
        <v>20000</v>
      </c>
      <c r="E9" s="64">
        <v>95</v>
      </c>
      <c r="F9" s="64">
        <v>12000</v>
      </c>
      <c r="G9" s="64">
        <v>5000</v>
      </c>
      <c r="H9" s="64">
        <v>1000</v>
      </c>
      <c r="I9" s="64">
        <v>2000000</v>
      </c>
      <c r="J9" s="64">
        <v>320</v>
      </c>
      <c r="K9" s="4" t="s">
        <v>481</v>
      </c>
      <c r="L9" s="4"/>
      <c r="M9" s="4"/>
      <c r="N9" s="4"/>
      <c r="O9" s="4"/>
      <c r="P9" s="4"/>
      <c r="Q9" s="4"/>
      <c r="R9" s="4"/>
      <c r="S9" s="4"/>
      <c r="T9" s="4"/>
      <c r="U9" s="4"/>
      <c r="V9" s="4"/>
      <c r="W9" s="4"/>
      <c r="X9" s="4"/>
      <c r="Y9" s="4"/>
      <c r="Z9" s="4"/>
      <c r="AA9" s="4"/>
      <c r="AB9" s="4"/>
      <c r="AC9" s="4"/>
    </row>
    <row r="10" spans="1:29" x14ac:dyDescent="0.25">
      <c r="A10" s="4" t="s">
        <v>466</v>
      </c>
      <c r="B10" s="4" t="s">
        <v>477</v>
      </c>
      <c r="C10" s="4" t="s">
        <v>474</v>
      </c>
      <c r="D10" s="64">
        <v>20000</v>
      </c>
      <c r="E10" s="64">
        <v>120</v>
      </c>
      <c r="F10" s="64">
        <v>12000</v>
      </c>
      <c r="G10" s="64">
        <v>5000</v>
      </c>
      <c r="H10" s="64">
        <v>1000</v>
      </c>
      <c r="I10" s="64">
        <v>2000000</v>
      </c>
      <c r="J10" s="64">
        <v>345</v>
      </c>
      <c r="K10" s="4" t="s">
        <v>481</v>
      </c>
      <c r="L10" s="4"/>
      <c r="M10" s="4"/>
      <c r="N10" s="4"/>
      <c r="O10" s="4"/>
      <c r="P10" s="4"/>
      <c r="Q10" s="4"/>
      <c r="R10" s="4"/>
      <c r="S10" s="4"/>
      <c r="T10" s="4"/>
      <c r="U10" s="4"/>
      <c r="V10" s="4"/>
      <c r="W10" s="4"/>
      <c r="X10" s="4"/>
      <c r="Y10" s="4"/>
      <c r="Z10" s="4"/>
      <c r="AA10" s="4"/>
      <c r="AB10" s="4"/>
      <c r="AC10" s="4"/>
    </row>
    <row r="11" spans="1:29" x14ac:dyDescent="0.25">
      <c r="A11" s="4" t="s">
        <v>466</v>
      </c>
      <c r="B11" s="4" t="s">
        <v>478</v>
      </c>
      <c r="C11" s="4" t="s">
        <v>198</v>
      </c>
      <c r="D11" s="64">
        <v>30000</v>
      </c>
      <c r="E11" s="64">
        <v>125</v>
      </c>
      <c r="F11" s="64">
        <v>15000</v>
      </c>
      <c r="G11" s="64">
        <v>5000</v>
      </c>
      <c r="H11" s="64">
        <v>1000</v>
      </c>
      <c r="I11" s="64">
        <v>1000000</v>
      </c>
      <c r="J11" s="64">
        <v>325</v>
      </c>
      <c r="K11" s="4" t="s">
        <v>481</v>
      </c>
      <c r="L11" s="4"/>
      <c r="M11" s="4"/>
      <c r="N11" s="4"/>
      <c r="O11" s="4"/>
      <c r="P11" s="4"/>
      <c r="Q11" s="4"/>
      <c r="R11" s="4"/>
      <c r="S11" s="4"/>
      <c r="T11" s="4"/>
      <c r="U11" s="4"/>
      <c r="V11" s="4"/>
      <c r="W11" s="4"/>
      <c r="X11" s="4"/>
      <c r="Y11" s="4"/>
      <c r="Z11" s="4"/>
      <c r="AA11" s="4"/>
      <c r="AB11" s="4"/>
      <c r="AC11" s="4"/>
    </row>
    <row r="12" spans="1:29" x14ac:dyDescent="0.25">
      <c r="A12" s="4" t="s">
        <v>466</v>
      </c>
      <c r="B12" s="4" t="s">
        <v>478</v>
      </c>
      <c r="C12" s="4" t="s">
        <v>474</v>
      </c>
      <c r="D12" s="64">
        <v>30000</v>
      </c>
      <c r="E12" s="64">
        <v>150</v>
      </c>
      <c r="F12" s="64">
        <v>15000</v>
      </c>
      <c r="G12" s="64">
        <v>5000</v>
      </c>
      <c r="H12" s="64">
        <v>1000</v>
      </c>
      <c r="I12" s="64">
        <v>1000000</v>
      </c>
      <c r="J12" s="64">
        <v>350</v>
      </c>
      <c r="K12" s="4" t="s">
        <v>482</v>
      </c>
      <c r="L12" s="4"/>
      <c r="M12" s="4"/>
      <c r="N12" s="4"/>
      <c r="O12" s="4"/>
      <c r="P12" s="4"/>
      <c r="Q12" s="4"/>
      <c r="R12" s="4"/>
      <c r="S12" s="4"/>
      <c r="T12" s="4"/>
      <c r="U12" s="4"/>
      <c r="V12" s="4"/>
      <c r="W12" s="4"/>
      <c r="X12" s="4"/>
      <c r="Y12" s="4"/>
      <c r="Z12" s="4"/>
      <c r="AA12" s="4"/>
      <c r="AB12" s="4"/>
      <c r="AC12" s="4"/>
    </row>
    <row r="13" spans="1:29" x14ac:dyDescent="0.25">
      <c r="A13" s="4" t="s">
        <v>466</v>
      </c>
      <c r="B13" s="4" t="s">
        <v>478</v>
      </c>
      <c r="C13" s="4" t="s">
        <v>198</v>
      </c>
      <c r="D13" s="64">
        <v>30000</v>
      </c>
      <c r="E13" s="64">
        <v>125</v>
      </c>
      <c r="F13" s="64">
        <v>15000</v>
      </c>
      <c r="G13" s="64">
        <v>5000</v>
      </c>
      <c r="H13" s="64">
        <v>1000</v>
      </c>
      <c r="I13" s="64">
        <v>2000000</v>
      </c>
      <c r="J13" s="64">
        <v>350</v>
      </c>
      <c r="K13" s="4" t="s">
        <v>481</v>
      </c>
      <c r="L13" s="4"/>
      <c r="M13" s="4"/>
      <c r="N13" s="4"/>
      <c r="O13" s="4"/>
      <c r="P13" s="4"/>
      <c r="Q13" s="4"/>
      <c r="R13" s="4"/>
      <c r="S13" s="4"/>
      <c r="T13" s="4"/>
      <c r="U13" s="4"/>
      <c r="V13" s="4"/>
      <c r="W13" s="4"/>
      <c r="X13" s="4"/>
      <c r="Y13" s="4"/>
      <c r="Z13" s="4"/>
      <c r="AA13" s="4"/>
      <c r="AB13" s="4"/>
      <c r="AC13" s="4"/>
    </row>
    <row r="14" spans="1:29" x14ac:dyDescent="0.25">
      <c r="A14" s="4" t="s">
        <v>466</v>
      </c>
      <c r="B14" s="4" t="s">
        <v>478</v>
      </c>
      <c r="C14" s="4" t="s">
        <v>474</v>
      </c>
      <c r="D14" s="64">
        <v>30000</v>
      </c>
      <c r="E14" s="64">
        <v>150</v>
      </c>
      <c r="F14" s="64">
        <v>15000</v>
      </c>
      <c r="G14" s="64">
        <v>5000</v>
      </c>
      <c r="H14" s="64">
        <v>1000</v>
      </c>
      <c r="I14" s="64">
        <v>2000000</v>
      </c>
      <c r="J14" s="64">
        <v>375</v>
      </c>
      <c r="K14" s="4" t="s">
        <v>482</v>
      </c>
      <c r="L14" s="4"/>
      <c r="M14" s="4"/>
      <c r="N14" s="4"/>
      <c r="O14" s="4"/>
      <c r="P14" s="4"/>
      <c r="Q14" s="4"/>
      <c r="R14" s="4"/>
      <c r="S14" s="4"/>
      <c r="T14" s="4"/>
      <c r="U14" s="4"/>
      <c r="V14" s="4"/>
      <c r="W14" s="4"/>
      <c r="X14" s="4"/>
      <c r="Y14" s="4"/>
      <c r="Z14" s="4"/>
      <c r="AA14" s="4"/>
      <c r="AB14" s="4"/>
      <c r="AC14" s="4"/>
    </row>
    <row r="15" spans="1:29" x14ac:dyDescent="0.25">
      <c r="A15" s="4" t="s">
        <v>466</v>
      </c>
      <c r="B15" s="4"/>
      <c r="C15" s="4"/>
      <c r="D15" s="4"/>
      <c r="E15" s="4"/>
      <c r="F15" s="4"/>
      <c r="G15" s="4"/>
      <c r="H15" s="4"/>
      <c r="I15" s="4"/>
      <c r="J15" s="4"/>
      <c r="K15" s="4"/>
      <c r="L15" s="4"/>
      <c r="M15" s="4"/>
      <c r="N15" s="4"/>
      <c r="O15" s="4"/>
      <c r="P15" s="4"/>
      <c r="Q15" s="4"/>
      <c r="R15" s="4"/>
      <c r="S15" s="4"/>
      <c r="T15" s="4"/>
      <c r="U15" s="4"/>
      <c r="V15" s="4"/>
      <c r="W15" s="4"/>
      <c r="X15" s="4"/>
      <c r="Y15" s="4"/>
      <c r="Z15" s="4"/>
      <c r="AA15" s="4"/>
      <c r="AB15" s="4"/>
      <c r="AC15" s="4"/>
    </row>
    <row r="16" spans="1:29" x14ac:dyDescent="0.25">
      <c r="A16" s="4" t="s">
        <v>466</v>
      </c>
      <c r="B16" s="4"/>
      <c r="C16" s="4"/>
      <c r="D16" s="4"/>
      <c r="E16" s="4"/>
      <c r="F16" s="4"/>
      <c r="G16" s="4"/>
      <c r="H16" s="4"/>
      <c r="I16" s="4"/>
      <c r="J16" s="4"/>
      <c r="K16" s="4"/>
      <c r="L16" s="4"/>
      <c r="M16" s="4"/>
      <c r="N16" s="4"/>
      <c r="O16" s="4"/>
      <c r="P16" s="4"/>
      <c r="Q16" s="4"/>
      <c r="R16" s="4"/>
      <c r="S16" s="4"/>
      <c r="T16" s="4"/>
      <c r="U16" s="4"/>
      <c r="V16" s="4"/>
      <c r="W16" s="4"/>
      <c r="X16" s="4"/>
      <c r="Y16" s="4"/>
      <c r="Z16" s="4"/>
      <c r="AA16" s="4"/>
      <c r="AB16" s="4"/>
      <c r="AC16" s="4" t="s">
        <v>484</v>
      </c>
    </row>
    <row r="17" spans="1:29" x14ac:dyDescent="0.25">
      <c r="A17" s="4" t="s">
        <v>466</v>
      </c>
      <c r="B17" s="4"/>
      <c r="C17" s="4"/>
      <c r="D17" s="4"/>
      <c r="E17" s="4"/>
      <c r="F17" s="4"/>
      <c r="G17" s="4"/>
      <c r="H17" s="4"/>
      <c r="I17" s="4"/>
      <c r="J17" s="4"/>
      <c r="K17" s="4"/>
      <c r="L17" s="4"/>
      <c r="M17" s="4"/>
      <c r="N17" s="4"/>
      <c r="O17" s="4"/>
      <c r="P17" s="4"/>
      <c r="Q17" s="4"/>
      <c r="R17" s="4"/>
      <c r="S17" s="4"/>
      <c r="T17" s="4"/>
      <c r="U17" s="4"/>
      <c r="V17" s="4"/>
      <c r="W17" s="4"/>
      <c r="X17" s="4"/>
      <c r="Y17" s="4"/>
      <c r="Z17" s="4"/>
      <c r="AA17" s="4"/>
      <c r="AB17" s="4"/>
      <c r="AC17" s="4" t="s">
        <v>485</v>
      </c>
    </row>
    <row r="18" spans="1:29" x14ac:dyDescent="0.25">
      <c r="A18" s="4" t="s">
        <v>466</v>
      </c>
      <c r="B18" s="4"/>
      <c r="C18" s="4"/>
      <c r="D18" s="4"/>
      <c r="E18" s="4"/>
      <c r="F18" s="4"/>
      <c r="G18" s="4"/>
      <c r="H18" s="4"/>
      <c r="I18" s="4"/>
      <c r="J18" s="4"/>
      <c r="K18" s="4"/>
      <c r="L18" s="4"/>
      <c r="M18" s="4"/>
      <c r="N18" s="4"/>
      <c r="O18" s="4"/>
      <c r="P18" s="4"/>
      <c r="Q18" s="4"/>
      <c r="R18" s="4"/>
      <c r="S18" s="4"/>
      <c r="T18" s="4"/>
      <c r="U18" s="4"/>
      <c r="V18" s="4"/>
      <c r="W18" s="4"/>
      <c r="X18" s="4"/>
      <c r="Y18" s="4"/>
      <c r="Z18" s="4"/>
      <c r="AA18" s="4"/>
      <c r="AB18" s="4"/>
      <c r="AC18" s="4" t="s">
        <v>486</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FF0000"/>
  </sheetPr>
  <dimension ref="A1:B1"/>
  <sheetViews>
    <sheetView workbookViewId="0">
      <selection activeCell="B1" sqref="B1"/>
    </sheetView>
  </sheetViews>
  <sheetFormatPr defaultRowHeight="15" x14ac:dyDescent="0.25"/>
  <cols>
    <col min="1" max="1" width="58.28515625" bestFit="1" customWidth="1"/>
    <col min="2" max="2" width="64.28515625" customWidth="1"/>
    <col min="3" max="3" width="18.28515625" bestFit="1" customWidth="1"/>
  </cols>
  <sheetData>
    <row r="1" spans="1:2" x14ac:dyDescent="0.25">
      <c r="A1" t="s">
        <v>552</v>
      </c>
      <c r="B1" s="139" t="s">
        <v>550</v>
      </c>
    </row>
  </sheetData>
  <hyperlinks>
    <hyperlink ref="B1" r:id="rId1" xr:uid="{00000000-0004-0000-0800-000000000000}"/>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FFC000"/>
  </sheetPr>
  <dimension ref="A1:D23"/>
  <sheetViews>
    <sheetView topLeftCell="A5" zoomScale="85" zoomScaleNormal="85" workbookViewId="0">
      <selection activeCell="C21" sqref="C21"/>
    </sheetView>
  </sheetViews>
  <sheetFormatPr defaultRowHeight="15" x14ac:dyDescent="0.25"/>
  <cols>
    <col min="1" max="1" width="36.7109375" style="3" bestFit="1" customWidth="1"/>
    <col min="2" max="2" width="24.7109375" style="3" bestFit="1" customWidth="1"/>
    <col min="3" max="3" width="142" style="3" customWidth="1"/>
    <col min="4" max="4" width="41" customWidth="1"/>
  </cols>
  <sheetData>
    <row r="1" spans="1:4" x14ac:dyDescent="0.25">
      <c r="A1" s="171" t="s">
        <v>838</v>
      </c>
    </row>
    <row r="2" spans="1:4" x14ac:dyDescent="0.25">
      <c r="A2" s="170"/>
    </row>
    <row r="3" spans="1:4" x14ac:dyDescent="0.25">
      <c r="A3" s="75" t="s">
        <v>559</v>
      </c>
      <c r="B3" s="75" t="s">
        <v>560</v>
      </c>
      <c r="C3" s="75" t="s">
        <v>566</v>
      </c>
    </row>
    <row r="4" spans="1:4" ht="165" x14ac:dyDescent="0.25">
      <c r="A4" s="142" t="s">
        <v>558</v>
      </c>
      <c r="B4" s="143" t="s">
        <v>561</v>
      </c>
      <c r="C4" s="2" t="s">
        <v>565</v>
      </c>
      <c r="D4" s="152" t="s">
        <v>690</v>
      </c>
    </row>
    <row r="5" spans="1:4" ht="33" x14ac:dyDescent="0.3">
      <c r="A5" s="155" t="s">
        <v>925</v>
      </c>
      <c r="B5" s="157" t="s">
        <v>926</v>
      </c>
      <c r="C5" s="2" t="s">
        <v>927</v>
      </c>
      <c r="D5" s="7"/>
    </row>
    <row r="6" spans="1:4" ht="45" x14ac:dyDescent="0.25">
      <c r="A6" s="4" t="s">
        <v>554</v>
      </c>
      <c r="B6" s="143" t="s">
        <v>557</v>
      </c>
      <c r="C6" s="2" t="s">
        <v>881</v>
      </c>
    </row>
    <row r="7" spans="1:4" ht="60" x14ac:dyDescent="0.25">
      <c r="A7" s="3" t="s">
        <v>554</v>
      </c>
      <c r="B7" s="143" t="s">
        <v>557</v>
      </c>
      <c r="C7" s="2" t="s">
        <v>882</v>
      </c>
    </row>
    <row r="8" spans="1:4" ht="45" x14ac:dyDescent="0.25">
      <c r="A8" s="4" t="s">
        <v>554</v>
      </c>
      <c r="B8" s="143" t="s">
        <v>557</v>
      </c>
      <c r="C8" s="2" t="s">
        <v>883</v>
      </c>
    </row>
    <row r="9" spans="1:4" ht="45" x14ac:dyDescent="0.25">
      <c r="A9" s="4" t="s">
        <v>554</v>
      </c>
      <c r="B9" s="143" t="s">
        <v>557</v>
      </c>
      <c r="C9" s="2" t="s">
        <v>884</v>
      </c>
    </row>
    <row r="10" spans="1:4" ht="45" x14ac:dyDescent="0.25">
      <c r="A10" s="4" t="s">
        <v>554</v>
      </c>
      <c r="B10" s="143" t="s">
        <v>557</v>
      </c>
      <c r="C10" s="2" t="s">
        <v>885</v>
      </c>
    </row>
    <row r="11" spans="1:4" ht="45" x14ac:dyDescent="0.25">
      <c r="A11" s="4" t="s">
        <v>554</v>
      </c>
      <c r="B11" s="143" t="s">
        <v>557</v>
      </c>
      <c r="C11" s="2" t="s">
        <v>886</v>
      </c>
    </row>
    <row r="12" spans="1:4" ht="45" x14ac:dyDescent="0.25">
      <c r="A12" s="4" t="s">
        <v>554</v>
      </c>
      <c r="B12" s="143" t="s">
        <v>557</v>
      </c>
      <c r="C12" s="2" t="s">
        <v>887</v>
      </c>
    </row>
    <row r="13" spans="1:4" ht="45" x14ac:dyDescent="0.25">
      <c r="A13" s="4" t="s">
        <v>554</v>
      </c>
      <c r="B13" s="143" t="s">
        <v>557</v>
      </c>
      <c r="C13" s="2" t="s">
        <v>888</v>
      </c>
    </row>
    <row r="14" spans="1:4" ht="45" x14ac:dyDescent="0.25">
      <c r="A14" s="4" t="s">
        <v>554</v>
      </c>
      <c r="B14" s="143" t="s">
        <v>557</v>
      </c>
      <c r="C14" s="2" t="s">
        <v>941</v>
      </c>
    </row>
    <row r="15" spans="1:4" ht="45" x14ac:dyDescent="0.25">
      <c r="A15" s="4" t="s">
        <v>555</v>
      </c>
      <c r="B15" s="143" t="s">
        <v>892</v>
      </c>
      <c r="C15" s="2" t="s">
        <v>893</v>
      </c>
    </row>
    <row r="16" spans="1:4" ht="60" x14ac:dyDescent="0.25">
      <c r="A16" s="4" t="s">
        <v>555</v>
      </c>
      <c r="B16" s="143" t="s">
        <v>892</v>
      </c>
      <c r="C16" s="2" t="s">
        <v>894</v>
      </c>
    </row>
    <row r="17" spans="1:4" ht="45" x14ac:dyDescent="0.25">
      <c r="A17" s="4" t="s">
        <v>555</v>
      </c>
      <c r="B17" s="143" t="s">
        <v>892</v>
      </c>
      <c r="C17" s="2" t="s">
        <v>895</v>
      </c>
    </row>
    <row r="18" spans="1:4" ht="45" x14ac:dyDescent="0.25">
      <c r="A18" s="4" t="s">
        <v>555</v>
      </c>
      <c r="B18" s="143" t="s">
        <v>892</v>
      </c>
      <c r="C18" s="2" t="s">
        <v>896</v>
      </c>
    </row>
    <row r="19" spans="1:4" ht="45" x14ac:dyDescent="0.25">
      <c r="A19" s="4" t="s">
        <v>555</v>
      </c>
      <c r="B19" s="143" t="s">
        <v>892</v>
      </c>
      <c r="C19" s="2" t="s">
        <v>897</v>
      </c>
    </row>
    <row r="20" spans="1:4" ht="45" x14ac:dyDescent="0.25">
      <c r="A20" s="4" t="s">
        <v>555</v>
      </c>
      <c r="B20" s="143" t="s">
        <v>892</v>
      </c>
      <c r="C20" s="2" t="s">
        <v>898</v>
      </c>
      <c r="D20" s="149" t="s">
        <v>908</v>
      </c>
    </row>
    <row r="21" spans="1:4" ht="45" x14ac:dyDescent="0.25">
      <c r="A21" s="4" t="s">
        <v>555</v>
      </c>
      <c r="B21" s="143" t="s">
        <v>892</v>
      </c>
      <c r="C21" s="2" t="s">
        <v>899</v>
      </c>
      <c r="D21" s="152" t="s">
        <v>900</v>
      </c>
    </row>
    <row r="22" spans="1:4" ht="45" x14ac:dyDescent="0.25">
      <c r="A22" s="4" t="s">
        <v>555</v>
      </c>
      <c r="B22" s="143" t="s">
        <v>892</v>
      </c>
      <c r="C22" s="2" t="s">
        <v>901</v>
      </c>
    </row>
    <row r="23" spans="1:4" ht="45" x14ac:dyDescent="0.25">
      <c r="A23" s="4" t="s">
        <v>555</v>
      </c>
      <c r="B23" s="143" t="s">
        <v>892</v>
      </c>
      <c r="C23" s="2" t="s">
        <v>941</v>
      </c>
    </row>
  </sheetData>
  <pageMargins left="0.7" right="0.7" top="0.75" bottom="0.75" header="0.3" footer="0.3"/>
  <pageSetup orientation="portrait" horizontalDpi="200" verticalDpi="2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FFC000"/>
  </sheetPr>
  <dimension ref="A1:D20"/>
  <sheetViews>
    <sheetView topLeftCell="A13" zoomScale="85" zoomScaleNormal="85" workbookViewId="0">
      <selection activeCell="B6" sqref="B6"/>
    </sheetView>
  </sheetViews>
  <sheetFormatPr defaultRowHeight="15" x14ac:dyDescent="0.25"/>
  <cols>
    <col min="1" max="1" width="33.5703125" customWidth="1"/>
    <col min="2" max="2" width="48.140625" customWidth="1"/>
    <col min="3" max="3" width="67.5703125" customWidth="1"/>
    <col min="4" max="4" width="20.28515625" customWidth="1"/>
  </cols>
  <sheetData>
    <row r="1" spans="1:4" ht="30" x14ac:dyDescent="0.25">
      <c r="A1" s="172" t="s">
        <v>820</v>
      </c>
      <c r="B1" s="152" t="s">
        <v>924</v>
      </c>
    </row>
    <row r="3" spans="1:4" x14ac:dyDescent="0.25">
      <c r="A3" s="137" t="s">
        <v>559</v>
      </c>
      <c r="B3" s="137" t="s">
        <v>560</v>
      </c>
      <c r="C3" s="137" t="s">
        <v>566</v>
      </c>
    </row>
    <row r="4" spans="1:4" ht="16.5" x14ac:dyDescent="0.3">
      <c r="A4" t="s">
        <v>587</v>
      </c>
      <c r="B4" s="140" t="s">
        <v>588</v>
      </c>
      <c r="C4" t="s">
        <v>672</v>
      </c>
    </row>
    <row r="5" spans="1:4" ht="17.25" thickBot="1" x14ac:dyDescent="0.35">
      <c r="A5" t="s">
        <v>589</v>
      </c>
      <c r="B5" s="140" t="s">
        <v>590</v>
      </c>
      <c r="C5" t="s">
        <v>674</v>
      </c>
    </row>
    <row r="6" spans="1:4" ht="120.75" thickBot="1" x14ac:dyDescent="0.3">
      <c r="A6" t="s">
        <v>591</v>
      </c>
      <c r="B6" s="146" t="s">
        <v>592</v>
      </c>
      <c r="C6" s="7" t="s">
        <v>675</v>
      </c>
      <c r="D6" s="152" t="s">
        <v>878</v>
      </c>
    </row>
    <row r="7" spans="1:4" ht="16.5" x14ac:dyDescent="0.3">
      <c r="A7" t="s">
        <v>593</v>
      </c>
      <c r="B7" s="140" t="s">
        <v>594</v>
      </c>
      <c r="C7" t="s">
        <v>676</v>
      </c>
    </row>
    <row r="8" spans="1:4" ht="16.5" x14ac:dyDescent="0.3">
      <c r="A8" t="s">
        <v>595</v>
      </c>
      <c r="B8" s="140" t="s">
        <v>596</v>
      </c>
      <c r="C8" t="s">
        <v>621</v>
      </c>
    </row>
    <row r="9" spans="1:4" ht="60.75" x14ac:dyDescent="0.3">
      <c r="A9" t="s">
        <v>401</v>
      </c>
      <c r="B9" s="140" t="s">
        <v>597</v>
      </c>
      <c r="C9" s="7" t="s">
        <v>880</v>
      </c>
    </row>
    <row r="10" spans="1:4" ht="60.75" x14ac:dyDescent="0.3">
      <c r="A10" s="7" t="s">
        <v>598</v>
      </c>
      <c r="B10" s="140" t="s">
        <v>599</v>
      </c>
      <c r="C10" s="7" t="s">
        <v>677</v>
      </c>
      <c r="D10" t="s">
        <v>620</v>
      </c>
    </row>
    <row r="11" spans="1:4" ht="45.75" x14ac:dyDescent="0.3">
      <c r="A11" t="s">
        <v>600</v>
      </c>
      <c r="B11" s="147" t="s">
        <v>601</v>
      </c>
      <c r="C11" s="148" t="s">
        <v>678</v>
      </c>
    </row>
    <row r="12" spans="1:4" ht="30.75" x14ac:dyDescent="0.3">
      <c r="A12" s="7" t="s">
        <v>602</v>
      </c>
      <c r="B12" s="147" t="s">
        <v>603</v>
      </c>
      <c r="C12" s="148" t="s">
        <v>679</v>
      </c>
    </row>
    <row r="13" spans="1:4" ht="135.75" x14ac:dyDescent="0.3">
      <c r="A13" s="7" t="s">
        <v>604</v>
      </c>
      <c r="B13" s="147" t="s">
        <v>605</v>
      </c>
      <c r="C13" s="148" t="s">
        <v>680</v>
      </c>
      <c r="D13" s="152" t="s">
        <v>879</v>
      </c>
    </row>
    <row r="14" spans="1:4" ht="45.75" x14ac:dyDescent="0.3">
      <c r="A14" s="7" t="s">
        <v>606</v>
      </c>
      <c r="B14" s="147" t="s">
        <v>607</v>
      </c>
      <c r="C14" s="148" t="s">
        <v>681</v>
      </c>
    </row>
    <row r="15" spans="1:4" ht="45.75" x14ac:dyDescent="0.3">
      <c r="A15" s="7" t="s">
        <v>608</v>
      </c>
      <c r="B15" s="147" t="s">
        <v>609</v>
      </c>
      <c r="C15" s="148" t="s">
        <v>681</v>
      </c>
    </row>
    <row r="16" spans="1:4" ht="90.75" x14ac:dyDescent="0.3">
      <c r="A16" s="7" t="s">
        <v>610</v>
      </c>
      <c r="B16" s="147" t="s">
        <v>611</v>
      </c>
      <c r="C16" s="7" t="s">
        <v>682</v>
      </c>
    </row>
    <row r="17" spans="1:3" ht="16.5" x14ac:dyDescent="0.3">
      <c r="A17" s="7" t="s">
        <v>612</v>
      </c>
      <c r="B17" s="147" t="s">
        <v>613</v>
      </c>
      <c r="C17" s="7" t="s">
        <v>683</v>
      </c>
    </row>
    <row r="18" spans="1:3" ht="45.75" x14ac:dyDescent="0.3">
      <c r="A18" s="7" t="s">
        <v>614</v>
      </c>
      <c r="B18" s="147" t="s">
        <v>615</v>
      </c>
      <c r="C18" s="7" t="s">
        <v>684</v>
      </c>
    </row>
    <row r="19" spans="1:3" ht="16.5" x14ac:dyDescent="0.3">
      <c r="A19" s="7" t="s">
        <v>616</v>
      </c>
      <c r="B19" s="147" t="s">
        <v>617</v>
      </c>
      <c r="C19" s="7" t="s">
        <v>685</v>
      </c>
    </row>
    <row r="20" spans="1:3" ht="30.75" x14ac:dyDescent="0.3">
      <c r="A20" s="7" t="s">
        <v>618</v>
      </c>
      <c r="B20" s="147" t="s">
        <v>619</v>
      </c>
      <c r="C20" s="7" t="s">
        <v>686</v>
      </c>
    </row>
  </sheetData>
  <pageMargins left="0.7" right="0.7" top="0.75" bottom="0.75" header="0.3" footer="0.3"/>
  <pageSetup orientation="portrait" horizontalDpi="200" verticalDpi="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FFC000"/>
  </sheetPr>
  <dimension ref="A1:D58"/>
  <sheetViews>
    <sheetView topLeftCell="A49" zoomScale="85" zoomScaleNormal="85" workbookViewId="0">
      <selection activeCell="B12" sqref="B12:B15"/>
    </sheetView>
  </sheetViews>
  <sheetFormatPr defaultRowHeight="15" x14ac:dyDescent="0.25"/>
  <cols>
    <col min="1" max="1" width="27.5703125" customWidth="1"/>
    <col min="2" max="2" width="47.140625" customWidth="1"/>
    <col min="3" max="3" width="61.7109375" customWidth="1"/>
    <col min="4" max="4" width="37.42578125" customWidth="1"/>
  </cols>
  <sheetData>
    <row r="1" spans="1:3" x14ac:dyDescent="0.25">
      <c r="A1" s="173" t="s">
        <v>839</v>
      </c>
    </row>
    <row r="2" spans="1:3" x14ac:dyDescent="0.25">
      <c r="A2" s="137" t="s">
        <v>559</v>
      </c>
      <c r="B2" s="137" t="s">
        <v>560</v>
      </c>
      <c r="C2" s="137" t="s">
        <v>566</v>
      </c>
    </row>
    <row r="3" spans="1:3" ht="16.5" customHeight="1" x14ac:dyDescent="0.25">
      <c r="A3" s="531" t="s">
        <v>649</v>
      </c>
      <c r="B3" s="533" t="s">
        <v>643</v>
      </c>
      <c r="C3" t="s">
        <v>644</v>
      </c>
    </row>
    <row r="4" spans="1:3" ht="30" x14ac:dyDescent="0.25">
      <c r="A4" s="532"/>
      <c r="B4" s="534"/>
      <c r="C4" s="7" t="s">
        <v>645</v>
      </c>
    </row>
    <row r="5" spans="1:3" x14ac:dyDescent="0.25">
      <c r="A5" s="532"/>
      <c r="B5" s="534"/>
      <c r="C5" t="s">
        <v>646</v>
      </c>
    </row>
    <row r="6" spans="1:3" x14ac:dyDescent="0.25">
      <c r="A6" s="532"/>
      <c r="B6" s="534"/>
      <c r="C6" t="s">
        <v>647</v>
      </c>
    </row>
    <row r="7" spans="1:3" x14ac:dyDescent="0.25">
      <c r="A7" s="532"/>
      <c r="B7" s="534"/>
      <c r="C7" t="s">
        <v>648</v>
      </c>
    </row>
    <row r="8" spans="1:3" ht="16.5" customHeight="1" x14ac:dyDescent="0.25">
      <c r="A8" s="532" t="s">
        <v>650</v>
      </c>
      <c r="B8" s="534" t="s">
        <v>651</v>
      </c>
      <c r="C8" t="s">
        <v>652</v>
      </c>
    </row>
    <row r="9" spans="1:3" x14ac:dyDescent="0.25">
      <c r="A9" s="532"/>
      <c r="B9" s="534"/>
      <c r="C9" t="s">
        <v>646</v>
      </c>
    </row>
    <row r="10" spans="1:3" x14ac:dyDescent="0.25">
      <c r="A10" s="532"/>
      <c r="B10" s="534"/>
      <c r="C10" t="s">
        <v>673</v>
      </c>
    </row>
    <row r="11" spans="1:3" x14ac:dyDescent="0.25">
      <c r="A11" s="532"/>
      <c r="B11" s="534"/>
      <c r="C11" t="s">
        <v>659</v>
      </c>
    </row>
    <row r="12" spans="1:3" ht="67.5" customHeight="1" x14ac:dyDescent="0.25">
      <c r="A12" s="532" t="s">
        <v>653</v>
      </c>
      <c r="B12" s="534" t="s">
        <v>654</v>
      </c>
      <c r="C12" s="7" t="s">
        <v>866</v>
      </c>
    </row>
    <row r="13" spans="1:3" ht="45" x14ac:dyDescent="0.25">
      <c r="A13" s="532"/>
      <c r="B13" s="534"/>
      <c r="C13" s="7" t="s">
        <v>867</v>
      </c>
    </row>
    <row r="14" spans="1:3" ht="45" x14ac:dyDescent="0.25">
      <c r="A14" s="532"/>
      <c r="B14" s="534"/>
      <c r="C14" s="7" t="s">
        <v>868</v>
      </c>
    </row>
    <row r="15" spans="1:3" ht="45" x14ac:dyDescent="0.25">
      <c r="A15" s="532"/>
      <c r="B15" s="534"/>
      <c r="C15" s="7" t="s">
        <v>869</v>
      </c>
    </row>
    <row r="16" spans="1:3" ht="30" customHeight="1" x14ac:dyDescent="0.25">
      <c r="A16" s="523" t="s">
        <v>655</v>
      </c>
      <c r="B16" s="534" t="s">
        <v>656</v>
      </c>
      <c r="C16" t="s">
        <v>657</v>
      </c>
    </row>
    <row r="17" spans="1:3" x14ac:dyDescent="0.25">
      <c r="A17" s="523"/>
      <c r="B17" s="534"/>
      <c r="C17" t="s">
        <v>658</v>
      </c>
    </row>
    <row r="18" spans="1:3" x14ac:dyDescent="0.25">
      <c r="A18" s="523"/>
      <c r="B18" s="534"/>
      <c r="C18" t="s">
        <v>659</v>
      </c>
    </row>
    <row r="19" spans="1:3" x14ac:dyDescent="0.25">
      <c r="A19" s="523"/>
      <c r="B19" s="534"/>
      <c r="C19" t="s">
        <v>661</v>
      </c>
    </row>
    <row r="20" spans="1:3" x14ac:dyDescent="0.25">
      <c r="A20" s="523"/>
      <c r="B20" s="534"/>
      <c r="C20" t="s">
        <v>660</v>
      </c>
    </row>
    <row r="22" spans="1:3" ht="30.75" customHeight="1" x14ac:dyDescent="0.25">
      <c r="A22" s="523" t="s">
        <v>691</v>
      </c>
      <c r="B22" s="534" t="s">
        <v>692</v>
      </c>
      <c r="C22" t="s">
        <v>693</v>
      </c>
    </row>
    <row r="23" spans="1:3" x14ac:dyDescent="0.25">
      <c r="A23" s="523"/>
      <c r="B23" s="534"/>
      <c r="C23" t="s">
        <v>694</v>
      </c>
    </row>
    <row r="24" spans="1:3" x14ac:dyDescent="0.25">
      <c r="A24" s="523"/>
      <c r="B24" s="534"/>
      <c r="C24" t="s">
        <v>695</v>
      </c>
    </row>
    <row r="25" spans="1:3" x14ac:dyDescent="0.25">
      <c r="A25" s="523"/>
      <c r="B25" s="534"/>
      <c r="C25" t="s">
        <v>658</v>
      </c>
    </row>
    <row r="26" spans="1:3" x14ac:dyDescent="0.25">
      <c r="A26" s="523"/>
      <c r="B26" s="534"/>
      <c r="C26" t="s">
        <v>696</v>
      </c>
    </row>
    <row r="27" spans="1:3" x14ac:dyDescent="0.25">
      <c r="A27" s="523"/>
      <c r="B27" s="534"/>
      <c r="C27" t="s">
        <v>697</v>
      </c>
    </row>
    <row r="28" spans="1:3" x14ac:dyDescent="0.25">
      <c r="A28" s="523"/>
      <c r="B28" s="534"/>
      <c r="C28" t="s">
        <v>698</v>
      </c>
    </row>
    <row r="29" spans="1:3" ht="30.75" x14ac:dyDescent="0.3">
      <c r="A29" s="7" t="s">
        <v>699</v>
      </c>
      <c r="B29" s="147" t="s">
        <v>700</v>
      </c>
      <c r="C29" t="s">
        <v>701</v>
      </c>
    </row>
    <row r="30" spans="1:3" ht="135" x14ac:dyDescent="0.25">
      <c r="A30" s="1" t="s">
        <v>702</v>
      </c>
      <c r="B30" s="154" t="s">
        <v>703</v>
      </c>
      <c r="C30" s="7" t="s">
        <v>704</v>
      </c>
    </row>
    <row r="31" spans="1:3" ht="16.5" x14ac:dyDescent="0.3">
      <c r="A31" t="s">
        <v>705</v>
      </c>
      <c r="B31" s="147" t="s">
        <v>706</v>
      </c>
      <c r="C31" t="s">
        <v>707</v>
      </c>
    </row>
    <row r="32" spans="1:3" ht="150" x14ac:dyDescent="0.3">
      <c r="A32" t="s">
        <v>708</v>
      </c>
      <c r="B32" s="147" t="s">
        <v>709</v>
      </c>
      <c r="C32" s="2" t="s">
        <v>998</v>
      </c>
    </row>
    <row r="33" spans="1:3" ht="16.5" x14ac:dyDescent="0.3">
      <c r="A33" t="s">
        <v>710</v>
      </c>
      <c r="B33" s="147" t="s">
        <v>711</v>
      </c>
      <c r="C33" t="s">
        <v>712</v>
      </c>
    </row>
    <row r="34" spans="1:3" ht="30.75" x14ac:dyDescent="0.3">
      <c r="A34" s="7" t="s">
        <v>713</v>
      </c>
      <c r="B34" s="147" t="s">
        <v>714</v>
      </c>
      <c r="C34" t="s">
        <v>712</v>
      </c>
    </row>
    <row r="35" spans="1:3" ht="33" x14ac:dyDescent="0.3">
      <c r="A35" s="155" t="s">
        <v>715</v>
      </c>
      <c r="B35" s="147" t="s">
        <v>716</v>
      </c>
      <c r="C35" s="153" t="s">
        <v>870</v>
      </c>
    </row>
    <row r="36" spans="1:3" ht="16.5" x14ac:dyDescent="0.3">
      <c r="A36" t="s">
        <v>717</v>
      </c>
      <c r="B36" s="147" t="s">
        <v>718</v>
      </c>
      <c r="C36" t="s">
        <v>719</v>
      </c>
    </row>
    <row r="37" spans="1:3" ht="30.75" x14ac:dyDescent="0.3">
      <c r="A37" s="7" t="s">
        <v>720</v>
      </c>
      <c r="B37" s="147" t="s">
        <v>721</v>
      </c>
      <c r="C37" t="s">
        <v>722</v>
      </c>
    </row>
    <row r="38" spans="1:3" ht="45.75" x14ac:dyDescent="0.3">
      <c r="A38" s="155" t="s">
        <v>723</v>
      </c>
      <c r="B38" s="147" t="s">
        <v>724</v>
      </c>
      <c r="C38" s="7" t="s">
        <v>725</v>
      </c>
    </row>
    <row r="39" spans="1:3" ht="66" x14ac:dyDescent="0.3">
      <c r="A39" s="155" t="s">
        <v>726</v>
      </c>
      <c r="B39" s="147" t="s">
        <v>727</v>
      </c>
      <c r="C39" s="7" t="s">
        <v>725</v>
      </c>
    </row>
    <row r="40" spans="1:3" ht="33" x14ac:dyDescent="0.3">
      <c r="A40" s="155" t="s">
        <v>728</v>
      </c>
      <c r="B40" s="147" t="s">
        <v>729</v>
      </c>
      <c r="C40" s="153" t="s">
        <v>871</v>
      </c>
    </row>
    <row r="41" spans="1:3" ht="45.75" x14ac:dyDescent="0.3">
      <c r="A41" s="155" t="s">
        <v>730</v>
      </c>
      <c r="B41" s="147" t="s">
        <v>731</v>
      </c>
      <c r="C41" s="7" t="s">
        <v>734</v>
      </c>
    </row>
    <row r="42" spans="1:3" ht="16.5" x14ac:dyDescent="0.3">
      <c r="A42" s="140" t="s">
        <v>732</v>
      </c>
      <c r="B42" s="147" t="s">
        <v>733</v>
      </c>
      <c r="C42" s="7" t="s">
        <v>872</v>
      </c>
    </row>
    <row r="43" spans="1:3" ht="60.75" x14ac:dyDescent="0.3">
      <c r="A43" s="155" t="s">
        <v>735</v>
      </c>
      <c r="B43" s="147" t="s">
        <v>736</v>
      </c>
      <c r="C43" s="7" t="s">
        <v>737</v>
      </c>
    </row>
    <row r="44" spans="1:3" ht="33" x14ac:dyDescent="0.3">
      <c r="A44" s="155" t="s">
        <v>738</v>
      </c>
      <c r="B44" s="147" t="s">
        <v>739</v>
      </c>
      <c r="C44" s="149"/>
    </row>
    <row r="45" spans="1:3" ht="16.5" x14ac:dyDescent="0.3">
      <c r="A45" s="140" t="s">
        <v>740</v>
      </c>
      <c r="B45" s="147" t="s">
        <v>741</v>
      </c>
      <c r="C45" s="7" t="s">
        <v>712</v>
      </c>
    </row>
    <row r="46" spans="1:3" ht="16.5" x14ac:dyDescent="0.3">
      <c r="A46" s="140" t="s">
        <v>742</v>
      </c>
      <c r="B46" s="147" t="s">
        <v>743</v>
      </c>
      <c r="C46" s="7" t="s">
        <v>712</v>
      </c>
    </row>
    <row r="47" spans="1:3" ht="45.75" x14ac:dyDescent="0.3">
      <c r="A47" s="156" t="s">
        <v>744</v>
      </c>
      <c r="B47" s="147" t="s">
        <v>745</v>
      </c>
      <c r="C47" s="7" t="s">
        <v>755</v>
      </c>
    </row>
    <row r="48" spans="1:3" ht="45.75" x14ac:dyDescent="0.3">
      <c r="A48" s="155" t="s">
        <v>746</v>
      </c>
      <c r="B48" s="147" t="s">
        <v>747</v>
      </c>
      <c r="C48" s="7" t="s">
        <v>755</v>
      </c>
    </row>
    <row r="49" spans="1:4" ht="16.5" x14ac:dyDescent="0.3">
      <c r="A49" s="140" t="s">
        <v>748</v>
      </c>
      <c r="B49" s="147" t="s">
        <v>749</v>
      </c>
      <c r="C49" t="s">
        <v>750</v>
      </c>
    </row>
    <row r="50" spans="1:4" ht="33" x14ac:dyDescent="0.3">
      <c r="A50" s="155" t="s">
        <v>751</v>
      </c>
      <c r="B50" s="147" t="s">
        <v>752</v>
      </c>
      <c r="C50" t="s">
        <v>750</v>
      </c>
    </row>
    <row r="51" spans="1:4" ht="33" customHeight="1" x14ac:dyDescent="0.25">
      <c r="A51" s="535" t="s">
        <v>753</v>
      </c>
      <c r="B51" s="536" t="s">
        <v>754</v>
      </c>
      <c r="C51" s="7" t="s">
        <v>873</v>
      </c>
      <c r="D51" s="7" t="s">
        <v>877</v>
      </c>
    </row>
    <row r="52" spans="1:4" ht="30" x14ac:dyDescent="0.25">
      <c r="A52" s="535"/>
      <c r="B52" s="536"/>
      <c r="C52" s="7" t="s">
        <v>874</v>
      </c>
      <c r="D52" s="149" t="s">
        <v>939</v>
      </c>
    </row>
    <row r="53" spans="1:4" x14ac:dyDescent="0.25">
      <c r="A53" s="535"/>
      <c r="B53" s="536"/>
      <c r="C53" s="7" t="s">
        <v>875</v>
      </c>
    </row>
    <row r="54" spans="1:4" ht="30" x14ac:dyDescent="0.25">
      <c r="A54" s="535"/>
      <c r="B54" s="536"/>
      <c r="C54" s="7" t="s">
        <v>876</v>
      </c>
    </row>
    <row r="55" spans="1:4" ht="16.5" x14ac:dyDescent="0.3">
      <c r="A55" s="140" t="s">
        <v>740</v>
      </c>
      <c r="B55" s="147" t="s">
        <v>741</v>
      </c>
      <c r="C55" s="152" t="s">
        <v>907</v>
      </c>
      <c r="D55" s="149" t="s">
        <v>940</v>
      </c>
    </row>
    <row r="56" spans="1:4" ht="16.5" x14ac:dyDescent="0.3">
      <c r="A56" s="140" t="s">
        <v>742</v>
      </c>
      <c r="B56" s="147" t="s">
        <v>743</v>
      </c>
      <c r="C56" s="152" t="s">
        <v>909</v>
      </c>
      <c r="D56" s="7"/>
    </row>
    <row r="57" spans="1:4" ht="33" x14ac:dyDescent="0.3">
      <c r="A57" s="155" t="s">
        <v>928</v>
      </c>
      <c r="B57" s="147" t="s">
        <v>929</v>
      </c>
      <c r="C57" s="7" t="s">
        <v>930</v>
      </c>
    </row>
    <row r="58" spans="1:4" ht="33" x14ac:dyDescent="0.3">
      <c r="A58" s="155" t="s">
        <v>931</v>
      </c>
      <c r="B58" s="147" t="s">
        <v>932</v>
      </c>
      <c r="C58" s="7" t="s">
        <v>933</v>
      </c>
    </row>
  </sheetData>
  <mergeCells count="12">
    <mergeCell ref="A51:A54"/>
    <mergeCell ref="B51:B54"/>
    <mergeCell ref="A22:A28"/>
    <mergeCell ref="B22:B28"/>
    <mergeCell ref="A16:A20"/>
    <mergeCell ref="B16:B20"/>
    <mergeCell ref="A3:A7"/>
    <mergeCell ref="B3:B7"/>
    <mergeCell ref="A8:A11"/>
    <mergeCell ref="B8:B11"/>
    <mergeCell ref="A12:A15"/>
    <mergeCell ref="B12:B15"/>
  </mergeCells>
  <pageMargins left="0.7" right="0.7" top="0.75" bottom="0.75" header="0.3" footer="0.3"/>
  <pageSetup orientation="portrait" horizontalDpi="200" verticalDpi="2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FFC000"/>
  </sheetPr>
  <dimension ref="A1:N26"/>
  <sheetViews>
    <sheetView zoomScale="90" zoomScaleNormal="90" workbookViewId="0">
      <selection activeCell="G44" sqref="G44"/>
    </sheetView>
  </sheetViews>
  <sheetFormatPr defaultRowHeight="15" x14ac:dyDescent="0.25"/>
  <cols>
    <col min="1" max="1" width="27.42578125" customWidth="1"/>
    <col min="2" max="2" width="28.7109375" customWidth="1"/>
    <col min="3" max="3" width="23" customWidth="1"/>
    <col min="4" max="4" width="22" customWidth="1"/>
    <col min="5" max="5" width="20.5703125" customWidth="1"/>
    <col min="6" max="6" width="28.140625" customWidth="1"/>
    <col min="7" max="7" width="28.28515625" customWidth="1"/>
    <col min="8" max="8" width="24.7109375" customWidth="1"/>
    <col min="9" max="9" width="26.5703125" customWidth="1"/>
    <col min="10" max="10" width="25.28515625" customWidth="1"/>
    <col min="11" max="11" width="28" customWidth="1"/>
    <col min="12" max="12" width="27" customWidth="1"/>
    <col min="13" max="13" width="28.5703125" customWidth="1"/>
    <col min="14" max="14" width="25.42578125" customWidth="1"/>
  </cols>
  <sheetData>
    <row r="1" spans="1:14" x14ac:dyDescent="0.25">
      <c r="A1" s="172" t="s">
        <v>839</v>
      </c>
    </row>
    <row r="2" spans="1:14" x14ac:dyDescent="0.25">
      <c r="A2" s="174"/>
    </row>
    <row r="3" spans="1:14" x14ac:dyDescent="0.25">
      <c r="A3" s="123" t="s">
        <v>756</v>
      </c>
      <c r="B3" s="123" t="s">
        <v>757</v>
      </c>
      <c r="C3" s="123" t="s">
        <v>758</v>
      </c>
      <c r="D3" s="123" t="s">
        <v>759</v>
      </c>
      <c r="E3" s="123" t="s">
        <v>760</v>
      </c>
      <c r="F3" s="81" t="s">
        <v>761</v>
      </c>
      <c r="G3" s="137" t="s">
        <v>762</v>
      </c>
      <c r="H3" s="137" t="s">
        <v>763</v>
      </c>
      <c r="I3" s="137" t="s">
        <v>764</v>
      </c>
      <c r="J3" s="137" t="s">
        <v>765</v>
      </c>
      <c r="K3" s="137" t="s">
        <v>766</v>
      </c>
      <c r="L3" s="137" t="s">
        <v>767</v>
      </c>
      <c r="M3" s="137" t="s">
        <v>768</v>
      </c>
      <c r="N3" s="137" t="s">
        <v>769</v>
      </c>
    </row>
    <row r="4" spans="1:14" ht="33" x14ac:dyDescent="0.3">
      <c r="A4" s="181" t="s">
        <v>770</v>
      </c>
      <c r="B4" s="144" t="s">
        <v>771</v>
      </c>
      <c r="C4" s="150" t="s">
        <v>772</v>
      </c>
      <c r="D4" s="182">
        <v>50</v>
      </c>
      <c r="E4" s="138" t="s">
        <v>773</v>
      </c>
      <c r="F4" s="182">
        <v>100</v>
      </c>
      <c r="G4" s="138" t="s">
        <v>774</v>
      </c>
      <c r="H4" s="138" t="s">
        <v>775</v>
      </c>
      <c r="I4" s="138" t="s">
        <v>776</v>
      </c>
      <c r="J4" s="138" t="s">
        <v>777</v>
      </c>
      <c r="K4" s="138" t="s">
        <v>778</v>
      </c>
      <c r="L4" s="138" t="s">
        <v>779</v>
      </c>
      <c r="M4" s="138" t="s">
        <v>780</v>
      </c>
      <c r="N4" s="138" t="s">
        <v>781</v>
      </c>
    </row>
    <row r="5" spans="1:14" ht="33" customHeight="1" x14ac:dyDescent="0.25">
      <c r="A5" s="537" t="s">
        <v>782</v>
      </c>
      <c r="B5" s="538" t="s">
        <v>783</v>
      </c>
      <c r="C5" s="138" t="s">
        <v>784</v>
      </c>
      <c r="D5" s="138" t="s">
        <v>785</v>
      </c>
      <c r="E5" s="138" t="s">
        <v>773</v>
      </c>
      <c r="F5" s="138" t="s">
        <v>790</v>
      </c>
      <c r="G5" s="138" t="s">
        <v>774</v>
      </c>
      <c r="H5" s="138" t="s">
        <v>775</v>
      </c>
      <c r="I5" s="138" t="s">
        <v>776</v>
      </c>
      <c r="J5" s="138" t="s">
        <v>777</v>
      </c>
      <c r="K5" s="138" t="s">
        <v>778</v>
      </c>
      <c r="L5" s="138" t="s">
        <v>779</v>
      </c>
      <c r="M5" s="138" t="s">
        <v>780</v>
      </c>
      <c r="N5" s="138" t="s">
        <v>781</v>
      </c>
    </row>
    <row r="6" spans="1:14" ht="45" x14ac:dyDescent="0.25">
      <c r="A6" s="537"/>
      <c r="B6" s="538"/>
      <c r="C6" s="150" t="s">
        <v>786</v>
      </c>
      <c r="D6" s="138" t="s">
        <v>787</v>
      </c>
      <c r="E6" s="138" t="s">
        <v>773</v>
      </c>
      <c r="F6" s="138" t="s">
        <v>790</v>
      </c>
      <c r="G6" s="138" t="s">
        <v>774</v>
      </c>
      <c r="H6" s="138" t="s">
        <v>775</v>
      </c>
      <c r="I6" s="138" t="s">
        <v>776</v>
      </c>
      <c r="J6" s="138" t="s">
        <v>777</v>
      </c>
      <c r="K6" s="138" t="s">
        <v>778</v>
      </c>
      <c r="L6" s="138" t="s">
        <v>779</v>
      </c>
      <c r="M6" s="138" t="s">
        <v>780</v>
      </c>
      <c r="N6" s="138" t="s">
        <v>781</v>
      </c>
    </row>
    <row r="7" spans="1:14" x14ac:dyDescent="0.25">
      <c r="A7" s="537"/>
      <c r="B7" s="538"/>
      <c r="C7" s="138" t="s">
        <v>788</v>
      </c>
      <c r="D7" s="138" t="s">
        <v>789</v>
      </c>
      <c r="E7" s="138" t="s">
        <v>773</v>
      </c>
      <c r="F7" s="138" t="s">
        <v>790</v>
      </c>
      <c r="G7" s="138" t="s">
        <v>774</v>
      </c>
      <c r="H7" s="138" t="s">
        <v>775</v>
      </c>
      <c r="I7" s="138" t="s">
        <v>776</v>
      </c>
      <c r="J7" s="138" t="s">
        <v>777</v>
      </c>
      <c r="K7" s="138" t="s">
        <v>778</v>
      </c>
      <c r="L7" s="138" t="s">
        <v>779</v>
      </c>
      <c r="M7" s="138" t="s">
        <v>780</v>
      </c>
      <c r="N7" s="138" t="s">
        <v>781</v>
      </c>
    </row>
    <row r="8" spans="1:14" ht="33" x14ac:dyDescent="0.3">
      <c r="A8" s="181" t="s">
        <v>791</v>
      </c>
      <c r="B8" s="145" t="s">
        <v>792</v>
      </c>
      <c r="C8" s="138"/>
      <c r="D8" s="138"/>
      <c r="E8" s="138"/>
      <c r="F8" s="138"/>
      <c r="G8" s="138"/>
      <c r="H8" s="138"/>
      <c r="I8" s="138"/>
      <c r="J8" s="138"/>
      <c r="K8" s="138"/>
      <c r="L8" s="138"/>
      <c r="M8" s="138"/>
      <c r="N8" s="138"/>
    </row>
    <row r="9" spans="1:14" ht="33" x14ac:dyDescent="0.3">
      <c r="A9" s="181" t="s">
        <v>793</v>
      </c>
      <c r="B9" s="145" t="s">
        <v>794</v>
      </c>
      <c r="C9" s="138" t="s">
        <v>576</v>
      </c>
      <c r="D9" s="138"/>
      <c r="E9" s="138"/>
      <c r="F9" s="138"/>
      <c r="G9" s="138"/>
      <c r="H9" s="138"/>
      <c r="I9" s="138"/>
      <c r="J9" s="138"/>
      <c r="K9" s="138"/>
      <c r="L9" s="138"/>
      <c r="M9" s="138"/>
      <c r="N9" s="138"/>
    </row>
    <row r="10" spans="1:14" ht="33" x14ac:dyDescent="0.3">
      <c r="A10" s="181" t="s">
        <v>795</v>
      </c>
      <c r="B10" s="183" t="s">
        <v>796</v>
      </c>
      <c r="C10" s="138" t="s">
        <v>797</v>
      </c>
      <c r="D10" s="138"/>
      <c r="E10" s="138" t="s">
        <v>948</v>
      </c>
      <c r="F10" s="138" t="s">
        <v>949</v>
      </c>
      <c r="G10" s="138" t="s">
        <v>774</v>
      </c>
      <c r="H10" s="138" t="s">
        <v>775</v>
      </c>
      <c r="I10" s="138" t="s">
        <v>776</v>
      </c>
      <c r="J10" s="138" t="s">
        <v>777</v>
      </c>
      <c r="K10" s="138" t="s">
        <v>778</v>
      </c>
      <c r="L10" s="138" t="s">
        <v>779</v>
      </c>
      <c r="M10" s="138" t="s">
        <v>780</v>
      </c>
      <c r="N10" s="138" t="s">
        <v>781</v>
      </c>
    </row>
    <row r="11" spans="1:14" ht="33" x14ac:dyDescent="0.3">
      <c r="A11" s="181" t="s">
        <v>798</v>
      </c>
      <c r="B11" s="145" t="s">
        <v>799</v>
      </c>
      <c r="C11" s="138" t="s">
        <v>800</v>
      </c>
      <c r="D11" s="138" t="s">
        <v>801</v>
      </c>
      <c r="E11" s="138" t="s">
        <v>773</v>
      </c>
      <c r="F11" s="138" t="s">
        <v>790</v>
      </c>
      <c r="G11" s="138" t="s">
        <v>774</v>
      </c>
      <c r="H11" s="138" t="s">
        <v>775</v>
      </c>
      <c r="I11" s="138" t="s">
        <v>776</v>
      </c>
      <c r="J11" s="138" t="s">
        <v>777</v>
      </c>
      <c r="K11" s="138" t="s">
        <v>778</v>
      </c>
      <c r="L11" s="138" t="s">
        <v>779</v>
      </c>
      <c r="M11" s="138" t="s">
        <v>780</v>
      </c>
      <c r="N11" s="138" t="s">
        <v>781</v>
      </c>
    </row>
    <row r="12" spans="1:14" ht="49.5" customHeight="1" x14ac:dyDescent="0.25">
      <c r="A12" s="537" t="s">
        <v>802</v>
      </c>
      <c r="B12" s="539" t="s">
        <v>803</v>
      </c>
      <c r="C12" s="138" t="s">
        <v>804</v>
      </c>
      <c r="D12" s="138" t="s">
        <v>805</v>
      </c>
      <c r="E12" s="138" t="s">
        <v>773</v>
      </c>
      <c r="F12" s="138" t="s">
        <v>790</v>
      </c>
      <c r="G12" s="138" t="s">
        <v>774</v>
      </c>
      <c r="H12" s="138" t="s">
        <v>775</v>
      </c>
      <c r="I12" s="138" t="s">
        <v>776</v>
      </c>
      <c r="J12" s="138" t="s">
        <v>777</v>
      </c>
      <c r="K12" s="138" t="s">
        <v>778</v>
      </c>
      <c r="L12" s="138" t="s">
        <v>779</v>
      </c>
      <c r="M12" s="138" t="s">
        <v>780</v>
      </c>
      <c r="N12" s="138" t="s">
        <v>781</v>
      </c>
    </row>
    <row r="13" spans="1:14" x14ac:dyDescent="0.25">
      <c r="A13" s="537"/>
      <c r="B13" s="539"/>
      <c r="C13" s="138" t="s">
        <v>807</v>
      </c>
      <c r="D13" s="138" t="s">
        <v>806</v>
      </c>
      <c r="E13" s="138" t="s">
        <v>773</v>
      </c>
      <c r="F13" s="138" t="s">
        <v>790</v>
      </c>
      <c r="G13" s="138" t="s">
        <v>774</v>
      </c>
      <c r="H13" s="138" t="s">
        <v>775</v>
      </c>
      <c r="I13" s="138" t="s">
        <v>776</v>
      </c>
      <c r="J13" s="138" t="s">
        <v>777</v>
      </c>
      <c r="K13" s="138" t="s">
        <v>778</v>
      </c>
      <c r="L13" s="138" t="s">
        <v>779</v>
      </c>
      <c r="M13" s="138" t="s">
        <v>780</v>
      </c>
      <c r="N13" s="138" t="s">
        <v>781</v>
      </c>
    </row>
    <row r="14" spans="1:14" x14ac:dyDescent="0.25">
      <c r="A14" s="537"/>
      <c r="B14" s="539"/>
      <c r="C14" s="138" t="s">
        <v>808</v>
      </c>
      <c r="D14" s="138" t="s">
        <v>809</v>
      </c>
      <c r="E14" s="138" t="s">
        <v>773</v>
      </c>
      <c r="F14" s="138" t="s">
        <v>790</v>
      </c>
      <c r="G14" s="138" t="s">
        <v>774</v>
      </c>
      <c r="H14" s="138" t="s">
        <v>775</v>
      </c>
      <c r="I14" s="138" t="s">
        <v>776</v>
      </c>
      <c r="J14" s="138" t="s">
        <v>777</v>
      </c>
      <c r="K14" s="138" t="s">
        <v>778</v>
      </c>
      <c r="L14" s="138" t="s">
        <v>779</v>
      </c>
      <c r="M14" s="138" t="s">
        <v>780</v>
      </c>
      <c r="N14" s="138" t="s">
        <v>781</v>
      </c>
    </row>
    <row r="15" spans="1:14" ht="49.5" x14ac:dyDescent="0.3">
      <c r="A15" s="181" t="s">
        <v>810</v>
      </c>
      <c r="B15" s="183" t="s">
        <v>811</v>
      </c>
      <c r="C15" s="138"/>
      <c r="D15" s="182">
        <v>50</v>
      </c>
      <c r="E15" s="182">
        <v>50</v>
      </c>
      <c r="F15" s="182">
        <v>50</v>
      </c>
      <c r="G15" s="182">
        <v>50</v>
      </c>
      <c r="H15" s="182">
        <v>50</v>
      </c>
      <c r="I15" s="182">
        <v>50</v>
      </c>
      <c r="J15" s="182">
        <v>50</v>
      </c>
      <c r="K15" s="182">
        <v>50</v>
      </c>
      <c r="L15" s="182">
        <v>50</v>
      </c>
      <c r="M15" s="182">
        <v>50</v>
      </c>
      <c r="N15" s="182">
        <v>50</v>
      </c>
    </row>
    <row r="16" spans="1:14" ht="33" x14ac:dyDescent="0.3">
      <c r="A16" s="181" t="s">
        <v>942</v>
      </c>
      <c r="B16" s="145" t="s">
        <v>943</v>
      </c>
      <c r="C16" s="138"/>
      <c r="D16" s="182">
        <v>50</v>
      </c>
      <c r="E16" s="138" t="s">
        <v>773</v>
      </c>
      <c r="F16" s="182">
        <v>75</v>
      </c>
      <c r="G16" s="138" t="s">
        <v>774</v>
      </c>
      <c r="H16" s="138" t="s">
        <v>775</v>
      </c>
      <c r="I16" s="138" t="s">
        <v>776</v>
      </c>
      <c r="J16" s="138" t="s">
        <v>777</v>
      </c>
      <c r="K16" s="138" t="s">
        <v>778</v>
      </c>
      <c r="L16" s="138" t="s">
        <v>779</v>
      </c>
      <c r="M16" s="138" t="s">
        <v>780</v>
      </c>
      <c r="N16" s="138" t="s">
        <v>781</v>
      </c>
    </row>
    <row r="17" spans="1:14" ht="33" x14ac:dyDescent="0.3">
      <c r="A17" s="181" t="s">
        <v>944</v>
      </c>
      <c r="B17" s="145" t="s">
        <v>945</v>
      </c>
      <c r="C17" s="138" t="s">
        <v>576</v>
      </c>
      <c r="D17" s="138"/>
      <c r="E17" s="138"/>
      <c r="F17" s="138"/>
      <c r="G17" s="138"/>
      <c r="H17" s="138"/>
      <c r="I17" s="138"/>
      <c r="J17" s="138"/>
      <c r="K17" s="138"/>
      <c r="L17" s="138"/>
      <c r="M17" s="138"/>
      <c r="N17" s="138"/>
    </row>
    <row r="18" spans="1:14" ht="120.75" x14ac:dyDescent="0.3">
      <c r="A18" s="181" t="s">
        <v>946</v>
      </c>
      <c r="B18" s="145" t="s">
        <v>947</v>
      </c>
      <c r="C18" s="138" t="s">
        <v>23</v>
      </c>
      <c r="D18" s="150" t="s">
        <v>950</v>
      </c>
      <c r="E18" s="138"/>
      <c r="F18" s="138"/>
      <c r="G18" s="138"/>
      <c r="H18" s="138"/>
      <c r="I18" s="138"/>
      <c r="J18" s="138"/>
      <c r="K18" s="138"/>
      <c r="L18" s="138"/>
      <c r="M18" s="138"/>
      <c r="N18" s="138"/>
    </row>
    <row r="19" spans="1:14" ht="120.75" x14ac:dyDescent="0.3">
      <c r="A19" s="181" t="s">
        <v>951</v>
      </c>
      <c r="B19" s="144" t="s">
        <v>952</v>
      </c>
      <c r="C19" s="138"/>
      <c r="D19" s="138"/>
      <c r="E19" s="150" t="s">
        <v>953</v>
      </c>
      <c r="F19" s="150" t="s">
        <v>954</v>
      </c>
      <c r="G19" s="138" t="s">
        <v>774</v>
      </c>
      <c r="H19" s="138" t="s">
        <v>775</v>
      </c>
      <c r="I19" s="138" t="s">
        <v>776</v>
      </c>
      <c r="J19" s="138" t="s">
        <v>777</v>
      </c>
      <c r="K19" s="138" t="s">
        <v>778</v>
      </c>
      <c r="L19" s="138" t="s">
        <v>779</v>
      </c>
      <c r="M19" s="138" t="s">
        <v>780</v>
      </c>
      <c r="N19" s="138" t="s">
        <v>781</v>
      </c>
    </row>
    <row r="20" spans="1:14" ht="90.75" x14ac:dyDescent="0.3">
      <c r="A20" s="144" t="s">
        <v>955</v>
      </c>
      <c r="B20" s="144" t="s">
        <v>956</v>
      </c>
      <c r="C20" s="138" t="s">
        <v>957</v>
      </c>
      <c r="D20" s="138"/>
      <c r="E20" s="150" t="s">
        <v>958</v>
      </c>
      <c r="F20" s="150" t="s">
        <v>959</v>
      </c>
      <c r="G20" s="138" t="s">
        <v>960</v>
      </c>
      <c r="H20" s="138" t="s">
        <v>960</v>
      </c>
      <c r="I20" s="138" t="s">
        <v>960</v>
      </c>
      <c r="J20" s="138" t="s">
        <v>960</v>
      </c>
      <c r="K20" s="138" t="s">
        <v>960</v>
      </c>
      <c r="L20" s="138" t="s">
        <v>961</v>
      </c>
      <c r="M20" s="138" t="s">
        <v>960</v>
      </c>
      <c r="N20" s="138" t="s">
        <v>313</v>
      </c>
    </row>
    <row r="21" spans="1:14" ht="49.5" x14ac:dyDescent="0.3">
      <c r="A21" s="184" t="s">
        <v>962</v>
      </c>
      <c r="B21" s="138"/>
      <c r="C21" s="138"/>
      <c r="D21" s="138"/>
      <c r="E21" s="138"/>
      <c r="F21" s="138"/>
      <c r="G21" s="138"/>
      <c r="H21" s="138"/>
      <c r="I21" s="138"/>
      <c r="J21" s="138"/>
      <c r="K21" s="138"/>
      <c r="L21" s="138"/>
      <c r="M21" s="138"/>
      <c r="N21" s="138"/>
    </row>
    <row r="22" spans="1:14" ht="33" x14ac:dyDescent="0.3">
      <c r="A22" s="181" t="s">
        <v>963</v>
      </c>
      <c r="B22" s="138"/>
      <c r="C22" s="150" t="s">
        <v>964</v>
      </c>
      <c r="D22" s="138"/>
      <c r="E22" s="138"/>
      <c r="F22" s="138"/>
      <c r="G22" s="138"/>
      <c r="H22" s="138"/>
      <c r="I22" s="138"/>
      <c r="J22" s="138"/>
      <c r="K22" s="138"/>
      <c r="L22" s="138"/>
      <c r="M22" s="138"/>
      <c r="N22" s="138"/>
    </row>
    <row r="23" spans="1:14" ht="33" x14ac:dyDescent="0.3">
      <c r="A23" s="184" t="s">
        <v>965</v>
      </c>
      <c r="B23" s="138"/>
      <c r="C23" s="138"/>
      <c r="D23" s="138"/>
      <c r="E23" s="138"/>
      <c r="F23" s="138"/>
      <c r="G23" s="138"/>
      <c r="H23" s="138"/>
      <c r="I23" s="138"/>
      <c r="J23" s="138"/>
      <c r="K23" s="138"/>
      <c r="L23" s="138"/>
      <c r="M23" s="138"/>
      <c r="N23" s="138"/>
    </row>
    <row r="24" spans="1:14" ht="16.5" x14ac:dyDescent="0.3">
      <c r="A24" s="144" t="s">
        <v>966</v>
      </c>
      <c r="B24" s="138"/>
      <c r="C24" s="138"/>
      <c r="D24" s="138"/>
      <c r="E24" s="138"/>
      <c r="F24" s="138"/>
      <c r="G24" s="138"/>
      <c r="H24" s="138"/>
      <c r="I24" s="138"/>
      <c r="J24" s="138"/>
      <c r="K24" s="138"/>
      <c r="L24" s="138"/>
      <c r="M24" s="138"/>
      <c r="N24" s="138"/>
    </row>
    <row r="25" spans="1:14" ht="33" x14ac:dyDescent="0.3">
      <c r="A25" s="181" t="s">
        <v>967</v>
      </c>
      <c r="B25" s="138"/>
      <c r="C25" s="138"/>
      <c r="D25" s="138"/>
      <c r="E25" s="182">
        <v>20</v>
      </c>
      <c r="F25" s="182">
        <v>24</v>
      </c>
      <c r="G25" s="138" t="s">
        <v>774</v>
      </c>
      <c r="H25" s="138" t="s">
        <v>775</v>
      </c>
      <c r="I25" s="138" t="s">
        <v>776</v>
      </c>
      <c r="J25" s="138" t="s">
        <v>777</v>
      </c>
      <c r="K25" s="138" t="s">
        <v>778</v>
      </c>
      <c r="L25" s="138" t="s">
        <v>779</v>
      </c>
      <c r="M25" s="138" t="s">
        <v>780</v>
      </c>
      <c r="N25" s="138" t="s">
        <v>781</v>
      </c>
    </row>
    <row r="26" spans="1:14" ht="33" x14ac:dyDescent="0.3">
      <c r="A26" s="181" t="s">
        <v>968</v>
      </c>
      <c r="B26" s="138"/>
      <c r="C26" s="138"/>
      <c r="D26" s="182">
        <v>50</v>
      </c>
      <c r="E26" s="138" t="s">
        <v>960</v>
      </c>
      <c r="F26" s="138" t="s">
        <v>960</v>
      </c>
      <c r="G26" s="138" t="s">
        <v>960</v>
      </c>
      <c r="H26" s="138" t="s">
        <v>960</v>
      </c>
      <c r="I26" s="138" t="s">
        <v>960</v>
      </c>
      <c r="J26" s="138" t="s">
        <v>960</v>
      </c>
      <c r="K26" s="138" t="s">
        <v>960</v>
      </c>
      <c r="L26" s="138" t="s">
        <v>960</v>
      </c>
      <c r="M26" s="138" t="s">
        <v>960</v>
      </c>
      <c r="N26" s="138" t="s">
        <v>960</v>
      </c>
    </row>
  </sheetData>
  <mergeCells count="4">
    <mergeCell ref="A5:A7"/>
    <mergeCell ref="B5:B7"/>
    <mergeCell ref="A12:A14"/>
    <mergeCell ref="B12:B14"/>
  </mergeCells>
  <pageMargins left="0.7" right="0.7" top="0.75" bottom="0.75" header="0.3" footer="0.3"/>
  <pageSetup orientation="portrait" horizontalDpi="200" verticalDpi="200"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rgb="FFFFC000"/>
  </sheetPr>
  <dimension ref="A1:D12"/>
  <sheetViews>
    <sheetView workbookViewId="0">
      <selection activeCell="A11" sqref="A11"/>
    </sheetView>
  </sheetViews>
  <sheetFormatPr defaultRowHeight="15" x14ac:dyDescent="0.25"/>
  <cols>
    <col min="1" max="1" width="25.28515625" customWidth="1"/>
    <col min="2" max="2" width="46.7109375" customWidth="1"/>
    <col min="3" max="3" width="92.7109375" bestFit="1" customWidth="1"/>
    <col min="4" max="4" width="16.5703125" customWidth="1"/>
  </cols>
  <sheetData>
    <row r="1" spans="1:4" x14ac:dyDescent="0.25">
      <c r="A1" s="172" t="s">
        <v>840</v>
      </c>
    </row>
    <row r="2" spans="1:4" s="175" customFormat="1" x14ac:dyDescent="0.25">
      <c r="A2" s="174"/>
    </row>
    <row r="3" spans="1:4" x14ac:dyDescent="0.25">
      <c r="A3" s="5" t="s">
        <v>567</v>
      </c>
    </row>
    <row r="4" spans="1:4" x14ac:dyDescent="0.25">
      <c r="A4" t="s">
        <v>559</v>
      </c>
      <c r="B4" t="s">
        <v>560</v>
      </c>
      <c r="C4" t="s">
        <v>566</v>
      </c>
    </row>
    <row r="5" spans="1:4" ht="17.25" thickBot="1" x14ac:dyDescent="0.35">
      <c r="A5" t="s">
        <v>568</v>
      </c>
      <c r="B5" s="140" t="s">
        <v>569</v>
      </c>
      <c r="C5" t="s">
        <v>687</v>
      </c>
      <c r="D5" t="s">
        <v>905</v>
      </c>
    </row>
    <row r="6" spans="1:4" ht="17.25" thickBot="1" x14ac:dyDescent="0.3">
      <c r="A6" t="s">
        <v>622</v>
      </c>
      <c r="B6" s="146" t="s">
        <v>623</v>
      </c>
      <c r="C6" t="s">
        <v>902</v>
      </c>
    </row>
    <row r="7" spans="1:4" ht="16.5" x14ac:dyDescent="0.3">
      <c r="A7" t="s">
        <v>272</v>
      </c>
      <c r="B7" s="140" t="s">
        <v>624</v>
      </c>
      <c r="C7" t="s">
        <v>903</v>
      </c>
    </row>
    <row r="8" spans="1:4" ht="180.75" x14ac:dyDescent="0.3">
      <c r="A8" s="7" t="s">
        <v>208</v>
      </c>
      <c r="B8" s="140" t="s">
        <v>625</v>
      </c>
      <c r="C8" s="152" t="s">
        <v>934</v>
      </c>
      <c r="D8" s="7" t="s">
        <v>906</v>
      </c>
    </row>
    <row r="9" spans="1:4" ht="45.75" x14ac:dyDescent="0.3">
      <c r="A9" s="7" t="s">
        <v>626</v>
      </c>
      <c r="B9" s="147" t="s">
        <v>627</v>
      </c>
      <c r="C9" s="7" t="s">
        <v>633</v>
      </c>
    </row>
    <row r="10" spans="1:4" ht="60.75" x14ac:dyDescent="0.3">
      <c r="A10" t="s">
        <v>209</v>
      </c>
      <c r="B10" s="140" t="s">
        <v>628</v>
      </c>
      <c r="C10" s="152" t="s">
        <v>904</v>
      </c>
      <c r="D10" t="s">
        <v>905</v>
      </c>
    </row>
    <row r="11" spans="1:4" ht="16.5" x14ac:dyDescent="0.3">
      <c r="A11" t="s">
        <v>629</v>
      </c>
      <c r="B11" s="140" t="s">
        <v>630</v>
      </c>
      <c r="C11" t="s">
        <v>688</v>
      </c>
      <c r="D11" t="s">
        <v>905</v>
      </c>
    </row>
    <row r="12" spans="1:4" ht="30.75" x14ac:dyDescent="0.3">
      <c r="A12" s="7" t="s">
        <v>631</v>
      </c>
      <c r="B12" s="140" t="s">
        <v>632</v>
      </c>
      <c r="C12" s="153" t="s">
        <v>689</v>
      </c>
      <c r="D12" t="s">
        <v>938</v>
      </c>
    </row>
  </sheetData>
  <pageMargins left="0.7" right="0.7" top="0.75" bottom="0.75" header="0.3" footer="0.3"/>
  <pageSetup orientation="portrait" horizontalDpi="200" verticalDpi="200" r:id="rId1"/>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FFC000"/>
  </sheetPr>
  <dimension ref="B2:H34"/>
  <sheetViews>
    <sheetView topLeftCell="A11" workbookViewId="0">
      <selection activeCell="C27" sqref="C27"/>
    </sheetView>
  </sheetViews>
  <sheetFormatPr defaultRowHeight="15" x14ac:dyDescent="0.25"/>
  <cols>
    <col min="2" max="2" width="32.42578125" customWidth="1"/>
    <col min="3" max="3" width="45.7109375" customWidth="1"/>
    <col min="4" max="4" width="62.140625" customWidth="1"/>
  </cols>
  <sheetData>
    <row r="2" spans="2:4" x14ac:dyDescent="0.25">
      <c r="B2" s="137" t="s">
        <v>559</v>
      </c>
      <c r="C2" s="137" t="s">
        <v>560</v>
      </c>
      <c r="D2" s="137" t="s">
        <v>566</v>
      </c>
    </row>
    <row r="3" spans="2:4" x14ac:dyDescent="0.25">
      <c r="B3" s="531" t="s">
        <v>841</v>
      </c>
      <c r="C3" s="541" t="s">
        <v>842</v>
      </c>
      <c r="D3" t="s">
        <v>843</v>
      </c>
    </row>
    <row r="4" spans="2:4" x14ac:dyDescent="0.25">
      <c r="B4" s="532"/>
      <c r="C4" s="542"/>
      <c r="D4" t="s">
        <v>844</v>
      </c>
    </row>
    <row r="5" spans="2:4" x14ac:dyDescent="0.25">
      <c r="B5" s="532"/>
      <c r="C5" s="542"/>
      <c r="D5" t="s">
        <v>845</v>
      </c>
    </row>
    <row r="6" spans="2:4" x14ac:dyDescent="0.25">
      <c r="B6" s="532"/>
      <c r="C6" s="542"/>
      <c r="D6" t="s">
        <v>846</v>
      </c>
    </row>
    <row r="7" spans="2:4" x14ac:dyDescent="0.25">
      <c r="B7" s="532"/>
      <c r="C7" s="542"/>
      <c r="D7" t="s">
        <v>847</v>
      </c>
    </row>
    <row r="8" spans="2:4" x14ac:dyDescent="0.25">
      <c r="B8" s="532"/>
      <c r="C8" s="542"/>
      <c r="D8" t="s">
        <v>848</v>
      </c>
    </row>
    <row r="9" spans="2:4" x14ac:dyDescent="0.25">
      <c r="B9" s="535" t="s">
        <v>849</v>
      </c>
      <c r="C9" s="536" t="s">
        <v>850</v>
      </c>
      <c r="D9" t="s">
        <v>851</v>
      </c>
    </row>
    <row r="10" spans="2:4" x14ac:dyDescent="0.25">
      <c r="B10" s="535"/>
      <c r="C10" s="536"/>
      <c r="D10" t="s">
        <v>852</v>
      </c>
    </row>
    <row r="11" spans="2:4" x14ac:dyDescent="0.25">
      <c r="B11" s="535"/>
      <c r="C11" s="536"/>
      <c r="D11" t="s">
        <v>853</v>
      </c>
    </row>
    <row r="12" spans="2:4" x14ac:dyDescent="0.25">
      <c r="B12" s="535"/>
      <c r="C12" s="536"/>
      <c r="D12" t="s">
        <v>848</v>
      </c>
    </row>
    <row r="13" spans="2:4" x14ac:dyDescent="0.25">
      <c r="B13" s="535"/>
      <c r="C13" s="536"/>
      <c r="D13" t="s">
        <v>854</v>
      </c>
    </row>
    <row r="14" spans="2:4" x14ac:dyDescent="0.25">
      <c r="B14" s="535"/>
      <c r="C14" s="536"/>
      <c r="D14" t="s">
        <v>855</v>
      </c>
    </row>
    <row r="15" spans="2:4" x14ac:dyDescent="0.25">
      <c r="B15" s="535"/>
      <c r="C15" s="7" t="s">
        <v>856</v>
      </c>
      <c r="D15" t="s">
        <v>857</v>
      </c>
    </row>
    <row r="16" spans="2:4" ht="90.75" x14ac:dyDescent="0.3">
      <c r="B16" s="155" t="s">
        <v>858</v>
      </c>
      <c r="C16" s="140" t="s">
        <v>859</v>
      </c>
      <c r="D16" s="7" t="s">
        <v>860</v>
      </c>
    </row>
    <row r="17" spans="2:8" ht="90.75" x14ac:dyDescent="0.3">
      <c r="B17" s="155" t="s">
        <v>861</v>
      </c>
      <c r="C17" s="140" t="s">
        <v>862</v>
      </c>
      <c r="D17" s="7" t="s">
        <v>863</v>
      </c>
    </row>
    <row r="18" spans="2:8" ht="16.5" x14ac:dyDescent="0.3">
      <c r="B18" s="140"/>
    </row>
    <row r="19" spans="2:8" ht="15" customHeight="1" x14ac:dyDescent="0.25">
      <c r="B19" s="543" t="s">
        <v>864</v>
      </c>
      <c r="C19" s="543"/>
      <c r="D19" s="543"/>
      <c r="E19" s="543"/>
    </row>
    <row r="20" spans="2:8" ht="15" customHeight="1" x14ac:dyDescent="0.25">
      <c r="B20" s="151" t="s">
        <v>865</v>
      </c>
      <c r="C20" s="540" t="s">
        <v>283</v>
      </c>
      <c r="D20" s="540"/>
      <c r="E20" s="540"/>
    </row>
    <row r="21" spans="2:8" ht="15" customHeight="1" x14ac:dyDescent="0.25">
      <c r="C21" s="141">
        <v>2500</v>
      </c>
      <c r="D21" s="141">
        <v>5000</v>
      </c>
      <c r="E21" s="141">
        <v>10000</v>
      </c>
    </row>
    <row r="22" spans="2:8" ht="15" customHeight="1" x14ac:dyDescent="0.25">
      <c r="B22" s="141">
        <v>50000</v>
      </c>
      <c r="C22">
        <v>0.99199999999999999</v>
      </c>
      <c r="D22">
        <v>0.97799999999999998</v>
      </c>
      <c r="E22">
        <v>0.94899999999999995</v>
      </c>
    </row>
    <row r="23" spans="2:8" ht="15" customHeight="1" x14ac:dyDescent="0.25">
      <c r="B23" s="141">
        <v>100000</v>
      </c>
      <c r="C23">
        <v>0.99</v>
      </c>
      <c r="D23">
        <v>0.97499999999999998</v>
      </c>
      <c r="E23">
        <v>0.94299999999999995</v>
      </c>
    </row>
    <row r="24" spans="2:8" ht="15" customHeight="1" x14ac:dyDescent="0.25">
      <c r="B24" s="141">
        <v>250000</v>
      </c>
      <c r="C24">
        <v>0.99199999999999999</v>
      </c>
      <c r="D24">
        <v>0.98</v>
      </c>
      <c r="E24">
        <v>0.95399999999999996</v>
      </c>
    </row>
    <row r="25" spans="2:8" ht="15" customHeight="1" x14ac:dyDescent="0.25">
      <c r="B25" s="141">
        <v>500000</v>
      </c>
      <c r="C25">
        <v>0.99299999999999999</v>
      </c>
      <c r="D25">
        <v>0.98199999999999998</v>
      </c>
      <c r="E25">
        <v>0.96</v>
      </c>
    </row>
    <row r="26" spans="2:8" ht="15" customHeight="1" x14ac:dyDescent="0.25">
      <c r="B26" s="141">
        <v>1000000</v>
      </c>
      <c r="C26">
        <v>0.99299999999999999</v>
      </c>
      <c r="D26">
        <v>0.98199999999999998</v>
      </c>
      <c r="E26">
        <v>0.96</v>
      </c>
    </row>
    <row r="27" spans="2:8" ht="15" customHeight="1" x14ac:dyDescent="0.25"/>
    <row r="28" spans="2:8" ht="15" customHeight="1" x14ac:dyDescent="0.25"/>
    <row r="32" spans="2:8" x14ac:dyDescent="0.25">
      <c r="H32" s="176"/>
    </row>
    <row r="33" spans="8:8" x14ac:dyDescent="0.25">
      <c r="H33" s="151"/>
    </row>
    <row r="34" spans="8:8" x14ac:dyDescent="0.25">
      <c r="H34" s="141"/>
    </row>
  </sheetData>
  <mergeCells count="6">
    <mergeCell ref="C20:E20"/>
    <mergeCell ref="B3:B8"/>
    <mergeCell ref="C3:C8"/>
    <mergeCell ref="B9:B15"/>
    <mergeCell ref="C9:C14"/>
    <mergeCell ref="B19:E19"/>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FFFF00"/>
  </sheetPr>
  <dimension ref="A1:K19"/>
  <sheetViews>
    <sheetView workbookViewId="0">
      <selection activeCell="E26" sqref="E26"/>
    </sheetView>
  </sheetViews>
  <sheetFormatPr defaultRowHeight="15" x14ac:dyDescent="0.25"/>
  <cols>
    <col min="1" max="1" width="17.7109375" style="1" bestFit="1" customWidth="1"/>
    <col min="2" max="2" width="18.42578125" style="1" bestFit="1" customWidth="1"/>
    <col min="3" max="3" width="22.7109375" style="1" customWidth="1"/>
    <col min="4" max="4" width="19.85546875" style="1" customWidth="1"/>
    <col min="5" max="5" width="17.85546875" style="1" customWidth="1"/>
    <col min="6" max="6" width="18.42578125" style="1" customWidth="1"/>
    <col min="7" max="7" width="14.28515625" style="1" customWidth="1"/>
    <col min="8" max="8" width="38.42578125" style="1" customWidth="1"/>
    <col min="9" max="9" width="18" style="1" customWidth="1"/>
    <col min="10" max="10" width="13.5703125" style="1" customWidth="1"/>
    <col min="11" max="11" width="9.140625" style="1"/>
  </cols>
  <sheetData>
    <row r="1" spans="1:9" x14ac:dyDescent="0.25">
      <c r="A1" s="528" t="s">
        <v>281</v>
      </c>
      <c r="B1" s="528"/>
      <c r="C1" s="528"/>
      <c r="D1" s="528"/>
      <c r="E1" s="528"/>
      <c r="F1" s="528"/>
    </row>
    <row r="3" spans="1:9" ht="90" x14ac:dyDescent="0.25">
      <c r="A3" s="81" t="s">
        <v>282</v>
      </c>
      <c r="B3" s="81" t="s">
        <v>40</v>
      </c>
      <c r="C3" s="81" t="s">
        <v>283</v>
      </c>
      <c r="D3" s="81" t="s">
        <v>912</v>
      </c>
      <c r="E3" s="186" t="s">
        <v>999</v>
      </c>
      <c r="F3" s="81" t="s">
        <v>913</v>
      </c>
    </row>
    <row r="4" spans="1:9" x14ac:dyDescent="0.25">
      <c r="A4" s="82" t="s">
        <v>284</v>
      </c>
      <c r="B4" s="83">
        <v>50</v>
      </c>
      <c r="C4" s="83">
        <v>25000</v>
      </c>
      <c r="D4" s="82">
        <v>0.02</v>
      </c>
      <c r="E4" s="82">
        <v>0.01</v>
      </c>
      <c r="F4" s="82">
        <v>5.0000000000000001E-3</v>
      </c>
    </row>
    <row r="5" spans="1:9" ht="31.5" customHeight="1" x14ac:dyDescent="0.25">
      <c r="A5" s="82" t="s">
        <v>285</v>
      </c>
      <c r="B5" s="83">
        <v>50</v>
      </c>
      <c r="C5" s="83">
        <v>25000</v>
      </c>
      <c r="D5" s="82">
        <v>0.02</v>
      </c>
      <c r="E5" s="82">
        <v>0.01</v>
      </c>
      <c r="F5" s="82">
        <v>5.0000000000000001E-3</v>
      </c>
      <c r="H5" s="177" t="s">
        <v>910</v>
      </c>
    </row>
    <row r="6" spans="1:9" x14ac:dyDescent="0.25">
      <c r="A6" s="82" t="s">
        <v>286</v>
      </c>
      <c r="B6" s="83">
        <v>50</v>
      </c>
      <c r="C6" s="83" t="s">
        <v>293</v>
      </c>
      <c r="D6" s="82">
        <v>0.03</v>
      </c>
      <c r="E6" s="82">
        <v>0.02</v>
      </c>
      <c r="F6" s="82">
        <v>0.01</v>
      </c>
    </row>
    <row r="7" spans="1:9" x14ac:dyDescent="0.25">
      <c r="A7" s="82" t="s">
        <v>287</v>
      </c>
      <c r="B7" s="83">
        <v>50</v>
      </c>
      <c r="C7" s="83" t="s">
        <v>293</v>
      </c>
      <c r="D7" s="82">
        <v>0.03</v>
      </c>
      <c r="E7" s="82">
        <v>0.02</v>
      </c>
      <c r="F7" s="82">
        <v>0.01</v>
      </c>
    </row>
    <row r="8" spans="1:9" ht="30" x14ac:dyDescent="0.25">
      <c r="A8" s="82" t="s">
        <v>288</v>
      </c>
      <c r="B8" s="83">
        <v>50</v>
      </c>
      <c r="C8" s="83" t="s">
        <v>293</v>
      </c>
      <c r="D8" s="82">
        <v>0.04</v>
      </c>
      <c r="E8" s="82">
        <v>0.03</v>
      </c>
      <c r="F8" s="82">
        <v>0.02</v>
      </c>
      <c r="H8" s="1" t="s">
        <v>921</v>
      </c>
    </row>
    <row r="9" spans="1:9" x14ac:dyDescent="0.25">
      <c r="A9" s="82" t="s">
        <v>289</v>
      </c>
      <c r="B9" s="83">
        <v>50</v>
      </c>
      <c r="C9" s="83" t="s">
        <v>293</v>
      </c>
      <c r="D9" s="82">
        <v>0.04</v>
      </c>
      <c r="E9" s="82">
        <v>0.03</v>
      </c>
      <c r="F9" s="82">
        <v>0.02</v>
      </c>
    </row>
    <row r="10" spans="1:9" x14ac:dyDescent="0.25">
      <c r="A10" s="82" t="s">
        <v>290</v>
      </c>
      <c r="B10" s="83">
        <v>50</v>
      </c>
      <c r="C10" s="83">
        <v>100000</v>
      </c>
      <c r="D10" s="82">
        <v>7.0000000000000007E-2</v>
      </c>
      <c r="E10" s="82">
        <v>0.06</v>
      </c>
      <c r="F10" s="82">
        <v>0.05</v>
      </c>
    </row>
    <row r="11" spans="1:9" x14ac:dyDescent="0.25">
      <c r="A11" s="82" t="s">
        <v>291</v>
      </c>
      <c r="B11" s="83">
        <v>50</v>
      </c>
      <c r="C11" s="83">
        <v>100000</v>
      </c>
      <c r="D11" s="82">
        <v>7.0000000000000007E-2</v>
      </c>
      <c r="E11" s="82">
        <v>0.06</v>
      </c>
      <c r="F11" s="82">
        <v>0.05</v>
      </c>
    </row>
    <row r="12" spans="1:9" x14ac:dyDescent="0.25">
      <c r="A12" s="82" t="s">
        <v>292</v>
      </c>
      <c r="B12" s="83" t="s">
        <v>294</v>
      </c>
      <c r="C12" s="82" t="s">
        <v>294</v>
      </c>
      <c r="D12" s="82" t="s">
        <v>46</v>
      </c>
      <c r="E12" s="82" t="s">
        <v>46</v>
      </c>
      <c r="F12" s="82" t="s">
        <v>46</v>
      </c>
    </row>
    <row r="15" spans="1:9" ht="30" customHeight="1" x14ac:dyDescent="0.25">
      <c r="A15" s="523" t="s">
        <v>911</v>
      </c>
      <c r="B15" s="523"/>
      <c r="C15" s="523"/>
      <c r="D15" s="523"/>
      <c r="E15" s="523"/>
      <c r="F15" s="523"/>
      <c r="G15" s="523"/>
      <c r="H15" s="523"/>
      <c r="I15" s="523"/>
    </row>
    <row r="16" spans="1:9" ht="45" x14ac:dyDescent="0.25">
      <c r="A16" s="2" t="s">
        <v>282</v>
      </c>
      <c r="B16" s="2" t="s">
        <v>914</v>
      </c>
      <c r="C16" s="2" t="s">
        <v>915</v>
      </c>
      <c r="D16" s="2" t="s">
        <v>916</v>
      </c>
      <c r="E16" s="2" t="s">
        <v>917</v>
      </c>
      <c r="F16" s="2" t="s">
        <v>918</v>
      </c>
      <c r="G16" s="2" t="s">
        <v>919</v>
      </c>
      <c r="H16" s="2" t="s">
        <v>920</v>
      </c>
      <c r="I16" s="2" t="s">
        <v>922</v>
      </c>
    </row>
    <row r="17" spans="1:9" ht="30" x14ac:dyDescent="0.25">
      <c r="A17" s="2">
        <v>0</v>
      </c>
      <c r="B17" s="178">
        <v>75</v>
      </c>
      <c r="C17" s="178">
        <v>100</v>
      </c>
      <c r="D17" s="178">
        <v>125</v>
      </c>
      <c r="E17" s="178">
        <v>150</v>
      </c>
      <c r="F17" s="178">
        <v>200</v>
      </c>
      <c r="G17" s="178">
        <v>250</v>
      </c>
      <c r="H17" s="178">
        <v>300</v>
      </c>
      <c r="I17" s="2" t="s">
        <v>923</v>
      </c>
    </row>
    <row r="18" spans="1:9" ht="30" x14ac:dyDescent="0.25">
      <c r="A18" s="2">
        <v>1</v>
      </c>
      <c r="B18" s="178">
        <v>75</v>
      </c>
      <c r="C18" s="178">
        <v>200</v>
      </c>
      <c r="D18" s="178">
        <v>125</v>
      </c>
      <c r="E18" s="178">
        <v>150</v>
      </c>
      <c r="F18" s="178">
        <v>200</v>
      </c>
      <c r="G18" s="178">
        <v>250</v>
      </c>
      <c r="H18" s="178">
        <v>300</v>
      </c>
      <c r="I18" s="2" t="s">
        <v>923</v>
      </c>
    </row>
    <row r="19" spans="1:9" ht="30" x14ac:dyDescent="0.25">
      <c r="A19" s="2">
        <v>2</v>
      </c>
      <c r="B19" s="178">
        <v>150</v>
      </c>
      <c r="C19" s="178">
        <v>200</v>
      </c>
      <c r="D19" s="178">
        <v>200</v>
      </c>
      <c r="E19" s="178">
        <v>250</v>
      </c>
      <c r="F19" s="178">
        <v>300</v>
      </c>
      <c r="G19" s="178">
        <v>350</v>
      </c>
      <c r="H19" s="178">
        <v>400</v>
      </c>
      <c r="I19" s="2" t="s">
        <v>923</v>
      </c>
    </row>
  </sheetData>
  <mergeCells count="2">
    <mergeCell ref="A1:F1"/>
    <mergeCell ref="A15:I15"/>
  </mergeCells>
  <pageMargins left="0.7" right="0.7" top="0.75" bottom="0.75" header="0.3" footer="0.3"/>
  <pageSetup orientation="portrait" horizontalDpi="200" verticalDpi="20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FFFF00"/>
  </sheetPr>
  <dimension ref="A1:C17"/>
  <sheetViews>
    <sheetView topLeftCell="A16" workbookViewId="0">
      <selection activeCell="A7" sqref="A7:A10"/>
    </sheetView>
  </sheetViews>
  <sheetFormatPr defaultRowHeight="15" x14ac:dyDescent="0.25"/>
  <cols>
    <col min="1" max="1" width="35.85546875" bestFit="1" customWidth="1"/>
    <col min="2" max="2" width="23.85546875" bestFit="1" customWidth="1"/>
    <col min="3" max="3" width="58.7109375" customWidth="1"/>
  </cols>
  <sheetData>
    <row r="1" spans="1:3" x14ac:dyDescent="0.25">
      <c r="A1" s="5" t="s">
        <v>573</v>
      </c>
    </row>
    <row r="2" spans="1:3" x14ac:dyDescent="0.25">
      <c r="A2" s="137" t="s">
        <v>559</v>
      </c>
      <c r="B2" s="137" t="s">
        <v>560</v>
      </c>
      <c r="C2" s="137" t="s">
        <v>566</v>
      </c>
    </row>
    <row r="3" spans="1:3" ht="16.5" x14ac:dyDescent="0.3">
      <c r="A3" s="144" t="s">
        <v>574</v>
      </c>
      <c r="B3" s="145" t="s">
        <v>575</v>
      </c>
      <c r="C3" s="138" t="s">
        <v>576</v>
      </c>
    </row>
    <row r="4" spans="1:3" ht="120.75" x14ac:dyDescent="0.3">
      <c r="A4" s="144" t="s">
        <v>577</v>
      </c>
      <c r="B4" s="145" t="s">
        <v>578</v>
      </c>
      <c r="C4" s="150" t="s">
        <v>634</v>
      </c>
    </row>
    <row r="5" spans="1:3" ht="17.25" customHeight="1" x14ac:dyDescent="0.25">
      <c r="A5" s="544" t="s">
        <v>579</v>
      </c>
      <c r="B5" s="544" t="s">
        <v>580</v>
      </c>
      <c r="C5" s="118"/>
    </row>
    <row r="6" spans="1:3" x14ac:dyDescent="0.25">
      <c r="A6" s="544"/>
      <c r="B6" s="544"/>
      <c r="C6" s="4"/>
    </row>
    <row r="7" spans="1:3" ht="114" customHeight="1" x14ac:dyDescent="0.25">
      <c r="A7" s="545" t="s">
        <v>581</v>
      </c>
      <c r="B7" s="546" t="s">
        <v>582</v>
      </c>
      <c r="C7" s="2" t="s">
        <v>638</v>
      </c>
    </row>
    <row r="8" spans="1:3" ht="111" customHeight="1" x14ac:dyDescent="0.25">
      <c r="A8" s="545"/>
      <c r="B8" s="546"/>
      <c r="C8" s="2" t="s">
        <v>639</v>
      </c>
    </row>
    <row r="9" spans="1:3" ht="111" customHeight="1" x14ac:dyDescent="0.25">
      <c r="A9" s="545"/>
      <c r="B9" s="546"/>
      <c r="C9" s="2" t="s">
        <v>640</v>
      </c>
    </row>
    <row r="10" spans="1:3" ht="111" customHeight="1" x14ac:dyDescent="0.25">
      <c r="A10" s="545"/>
      <c r="B10" s="546"/>
      <c r="C10" s="2" t="s">
        <v>641</v>
      </c>
    </row>
    <row r="11" spans="1:3" ht="135" customHeight="1" x14ac:dyDescent="0.25">
      <c r="A11" s="545" t="s">
        <v>583</v>
      </c>
      <c r="B11" s="545" t="s">
        <v>584</v>
      </c>
      <c r="C11" s="150" t="s">
        <v>889</v>
      </c>
    </row>
    <row r="12" spans="1:3" ht="120" x14ac:dyDescent="0.25">
      <c r="A12" s="545"/>
      <c r="B12" s="545"/>
      <c r="C12" s="150" t="s">
        <v>890</v>
      </c>
    </row>
    <row r="13" spans="1:3" ht="105" x14ac:dyDescent="0.25">
      <c r="A13" s="545"/>
      <c r="B13" s="545"/>
      <c r="C13" s="150" t="s">
        <v>891</v>
      </c>
    </row>
    <row r="14" spans="1:3" ht="17.25" customHeight="1" x14ac:dyDescent="0.25">
      <c r="A14" s="545" t="s">
        <v>585</v>
      </c>
      <c r="B14" s="545" t="s">
        <v>586</v>
      </c>
      <c r="C14" s="138" t="s">
        <v>635</v>
      </c>
    </row>
    <row r="15" spans="1:3" ht="15.75" customHeight="1" x14ac:dyDescent="0.25">
      <c r="A15" s="545"/>
      <c r="B15" s="545"/>
      <c r="C15" s="150" t="s">
        <v>636</v>
      </c>
    </row>
    <row r="16" spans="1:3" x14ac:dyDescent="0.25">
      <c r="A16" s="545"/>
      <c r="B16" s="545"/>
      <c r="C16" s="138" t="s">
        <v>637</v>
      </c>
    </row>
    <row r="17" spans="2:2" x14ac:dyDescent="0.25">
      <c r="B17" s="151"/>
    </row>
  </sheetData>
  <mergeCells count="8">
    <mergeCell ref="A5:A6"/>
    <mergeCell ref="B5:B6"/>
    <mergeCell ref="B14:B16"/>
    <mergeCell ref="A14:A16"/>
    <mergeCell ref="A7:A10"/>
    <mergeCell ref="B7:B10"/>
    <mergeCell ref="A11:A13"/>
    <mergeCell ref="B11:B13"/>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rgb="FFFFFF00"/>
  </sheetPr>
  <dimension ref="A2:I21"/>
  <sheetViews>
    <sheetView zoomScale="85" zoomScaleNormal="85" workbookViewId="0">
      <selection activeCell="B34" sqref="B34"/>
    </sheetView>
  </sheetViews>
  <sheetFormatPr defaultRowHeight="15" x14ac:dyDescent="0.25"/>
  <cols>
    <col min="1" max="1" width="32.140625" bestFit="1" customWidth="1"/>
    <col min="2" max="2" width="39.7109375" customWidth="1"/>
    <col min="3" max="3" width="17.42578125" bestFit="1" customWidth="1"/>
    <col min="4" max="4" width="23.85546875" bestFit="1" customWidth="1"/>
    <col min="5" max="5" width="32.140625" bestFit="1" customWidth="1"/>
    <col min="6" max="6" width="19.7109375" bestFit="1" customWidth="1"/>
    <col min="7" max="7" width="13.5703125" customWidth="1"/>
    <col min="8" max="8" width="12.140625" customWidth="1"/>
    <col min="9" max="9" width="14.28515625" customWidth="1"/>
  </cols>
  <sheetData>
    <row r="2" spans="1:9" ht="45" x14ac:dyDescent="0.25">
      <c r="A2" s="87" t="s">
        <v>551</v>
      </c>
      <c r="B2" t="s">
        <v>550</v>
      </c>
    </row>
    <row r="4" spans="1:9" x14ac:dyDescent="0.25">
      <c r="A4" s="547" t="s">
        <v>562</v>
      </c>
      <c r="B4" s="547"/>
    </row>
    <row r="5" spans="1:9" x14ac:dyDescent="0.25">
      <c r="A5" s="137" t="s">
        <v>563</v>
      </c>
      <c r="B5" s="137" t="s">
        <v>564</v>
      </c>
    </row>
    <row r="6" spans="1:9" x14ac:dyDescent="0.25">
      <c r="A6" s="141">
        <v>1000</v>
      </c>
      <c r="B6">
        <v>0.92</v>
      </c>
    </row>
    <row r="7" spans="1:9" x14ac:dyDescent="0.25">
      <c r="A7" s="141">
        <v>2500</v>
      </c>
      <c r="B7">
        <v>0.84</v>
      </c>
    </row>
    <row r="8" spans="1:9" x14ac:dyDescent="0.25">
      <c r="A8" s="141">
        <v>5000</v>
      </c>
      <c r="B8">
        <v>0.75</v>
      </c>
    </row>
    <row r="9" spans="1:9" x14ac:dyDescent="0.25">
      <c r="A9" s="141">
        <v>10000</v>
      </c>
      <c r="B9">
        <v>0.67</v>
      </c>
    </row>
    <row r="12" spans="1:9" x14ac:dyDescent="0.25">
      <c r="B12" s="499" t="s">
        <v>812</v>
      </c>
      <c r="C12" s="499"/>
      <c r="D12" s="499"/>
      <c r="E12" s="499"/>
      <c r="F12" s="499"/>
      <c r="G12" s="499"/>
      <c r="H12" s="499"/>
      <c r="I12" s="499"/>
    </row>
    <row r="13" spans="1:9" ht="30" x14ac:dyDescent="0.25">
      <c r="A13" s="137" t="s">
        <v>813</v>
      </c>
      <c r="B13" s="160" t="s">
        <v>814</v>
      </c>
      <c r="C13" s="160" t="s">
        <v>815</v>
      </c>
      <c r="D13" s="160" t="s">
        <v>816</v>
      </c>
      <c r="E13" s="160" t="s">
        <v>817</v>
      </c>
      <c r="F13" s="160" t="s">
        <v>818</v>
      </c>
      <c r="G13" s="160" t="s">
        <v>819</v>
      </c>
      <c r="H13" s="160" t="s">
        <v>11</v>
      </c>
      <c r="I13" s="160" t="s">
        <v>12</v>
      </c>
    </row>
    <row r="14" spans="1:9" x14ac:dyDescent="0.25">
      <c r="A14" s="137" t="s">
        <v>10</v>
      </c>
      <c r="B14" s="2">
        <v>0.05</v>
      </c>
      <c r="C14" s="2">
        <v>0.05</v>
      </c>
      <c r="D14" s="2">
        <v>0.05</v>
      </c>
      <c r="E14" s="2"/>
      <c r="F14" s="2">
        <v>0.1</v>
      </c>
      <c r="G14" s="2">
        <v>1</v>
      </c>
      <c r="H14" s="4">
        <v>0.05</v>
      </c>
      <c r="I14" s="4">
        <v>0.12</v>
      </c>
    </row>
    <row r="15" spans="1:9" x14ac:dyDescent="0.25">
      <c r="A15" s="137" t="s">
        <v>115</v>
      </c>
      <c r="B15" s="2">
        <v>0.05</v>
      </c>
      <c r="C15" s="2">
        <v>0.05</v>
      </c>
      <c r="D15" s="2">
        <v>0.05</v>
      </c>
      <c r="E15" s="2"/>
      <c r="F15" s="2">
        <v>0.1</v>
      </c>
      <c r="G15" s="2">
        <v>1</v>
      </c>
      <c r="H15" s="4">
        <v>0.05</v>
      </c>
      <c r="I15" s="4">
        <v>0.12</v>
      </c>
    </row>
    <row r="16" spans="1:9" x14ac:dyDescent="0.25">
      <c r="A16" s="137" t="s">
        <v>236</v>
      </c>
      <c r="B16" s="138">
        <v>0.05</v>
      </c>
      <c r="C16" s="138">
        <v>0.05</v>
      </c>
      <c r="D16" s="138">
        <v>0.05</v>
      </c>
      <c r="E16" s="138"/>
      <c r="F16" s="138">
        <v>0.1</v>
      </c>
      <c r="G16" s="138">
        <v>1</v>
      </c>
      <c r="H16" s="138">
        <v>0.05</v>
      </c>
      <c r="I16" s="138">
        <v>0.12</v>
      </c>
    </row>
    <row r="17" spans="1:9" x14ac:dyDescent="0.25">
      <c r="A17" s="137" t="s">
        <v>297</v>
      </c>
      <c r="B17" s="138">
        <v>0.05</v>
      </c>
      <c r="C17" s="138">
        <v>0.05</v>
      </c>
      <c r="D17" s="138" t="s">
        <v>23</v>
      </c>
      <c r="E17" s="138">
        <v>0.1</v>
      </c>
      <c r="F17" s="138">
        <v>0.1</v>
      </c>
      <c r="G17" s="138">
        <v>1</v>
      </c>
      <c r="H17" s="138">
        <v>0.05</v>
      </c>
      <c r="I17" s="138">
        <v>0.12</v>
      </c>
    </row>
    <row r="18" spans="1:9" x14ac:dyDescent="0.25">
      <c r="A18" s="137" t="s">
        <v>534</v>
      </c>
      <c r="B18" s="138">
        <v>0.05</v>
      </c>
      <c r="C18" s="138">
        <v>0.05</v>
      </c>
      <c r="D18" s="138" t="s">
        <v>23</v>
      </c>
      <c r="E18" s="138"/>
      <c r="F18" s="138">
        <v>0.1</v>
      </c>
      <c r="G18" s="138">
        <v>1</v>
      </c>
      <c r="H18" s="138">
        <v>7.0000000000000007E-2</v>
      </c>
      <c r="I18" s="138">
        <v>0.14000000000000001</v>
      </c>
    </row>
    <row r="19" spans="1:9" x14ac:dyDescent="0.25">
      <c r="A19" s="137" t="s">
        <v>347</v>
      </c>
      <c r="B19" s="138">
        <v>0.05</v>
      </c>
      <c r="C19" s="138">
        <v>0.05</v>
      </c>
      <c r="D19" s="138">
        <v>0.05</v>
      </c>
      <c r="E19" s="138"/>
      <c r="F19" s="138">
        <v>0.1</v>
      </c>
      <c r="G19" s="138">
        <v>1</v>
      </c>
      <c r="H19" s="138">
        <v>0.05</v>
      </c>
      <c r="I19" s="138">
        <v>0.12</v>
      </c>
    </row>
    <row r="20" spans="1:9" x14ac:dyDescent="0.25">
      <c r="A20" s="137" t="s">
        <v>421</v>
      </c>
      <c r="B20" s="138">
        <v>0.05</v>
      </c>
      <c r="C20" s="138">
        <v>0.05</v>
      </c>
      <c r="D20" s="138">
        <v>0.05</v>
      </c>
      <c r="E20" s="138"/>
      <c r="F20" s="138">
        <v>0.1</v>
      </c>
      <c r="G20" s="138">
        <v>1</v>
      </c>
      <c r="H20" s="138">
        <v>0.05</v>
      </c>
      <c r="I20" s="138">
        <v>0.12</v>
      </c>
    </row>
    <row r="21" spans="1:9" x14ac:dyDescent="0.25">
      <c r="A21" s="158" t="s">
        <v>466</v>
      </c>
      <c r="B21" s="138" t="s">
        <v>46</v>
      </c>
      <c r="C21" s="138" t="s">
        <v>46</v>
      </c>
      <c r="D21" s="138" t="s">
        <v>46</v>
      </c>
      <c r="E21" s="138" t="s">
        <v>46</v>
      </c>
      <c r="F21" s="138" t="s">
        <v>46</v>
      </c>
      <c r="G21" s="159">
        <v>1</v>
      </c>
      <c r="H21" s="138"/>
      <c r="I21" s="138"/>
    </row>
  </sheetData>
  <mergeCells count="2">
    <mergeCell ref="A4:B4"/>
    <mergeCell ref="B12:I12"/>
  </mergeCell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B2:I11"/>
  <sheetViews>
    <sheetView workbookViewId="0">
      <selection activeCell="D13" sqref="D13"/>
    </sheetView>
  </sheetViews>
  <sheetFormatPr defaultRowHeight="15" x14ac:dyDescent="0.25"/>
  <cols>
    <col min="2" max="2" width="39.28515625" customWidth="1"/>
    <col min="3" max="3" width="31.5703125" customWidth="1"/>
    <col min="4" max="4" width="18.85546875" customWidth="1"/>
    <col min="5" max="5" width="13.5703125" customWidth="1"/>
    <col min="6" max="6" width="12.140625" customWidth="1"/>
    <col min="7" max="7" width="13" customWidth="1"/>
    <col min="9" max="9" width="56.28515625" customWidth="1"/>
  </cols>
  <sheetData>
    <row r="2" spans="2:9" ht="45" customHeight="1" x14ac:dyDescent="0.25">
      <c r="B2" s="138" t="s">
        <v>971</v>
      </c>
      <c r="C2" s="138" t="s">
        <v>560</v>
      </c>
      <c r="D2" s="150" t="s">
        <v>972</v>
      </c>
      <c r="E2" s="548" t="s">
        <v>865</v>
      </c>
      <c r="F2" s="548"/>
      <c r="G2" s="548"/>
    </row>
    <row r="3" spans="2:9" ht="33" customHeight="1" x14ac:dyDescent="0.25">
      <c r="B3" s="549" t="s">
        <v>969</v>
      </c>
      <c r="C3" s="549" t="s">
        <v>970</v>
      </c>
      <c r="D3" s="138"/>
      <c r="E3" s="182">
        <v>1000000</v>
      </c>
      <c r="F3" s="182">
        <v>2000000</v>
      </c>
      <c r="G3" s="182">
        <v>5000000</v>
      </c>
    </row>
    <row r="4" spans="2:9" ht="30" x14ac:dyDescent="0.25">
      <c r="B4" s="550"/>
      <c r="C4" s="550"/>
      <c r="D4" s="138" t="s">
        <v>973</v>
      </c>
      <c r="E4" s="182">
        <v>451</v>
      </c>
      <c r="F4" s="182">
        <v>789</v>
      </c>
      <c r="G4" s="182">
        <v>1140</v>
      </c>
      <c r="I4" s="7" t="s">
        <v>981</v>
      </c>
    </row>
    <row r="5" spans="2:9" x14ac:dyDescent="0.25">
      <c r="B5" s="550"/>
      <c r="C5" s="550"/>
      <c r="D5" s="138" t="s">
        <v>974</v>
      </c>
      <c r="E5" s="182">
        <v>542</v>
      </c>
      <c r="F5" s="182">
        <v>950</v>
      </c>
      <c r="G5" s="182">
        <v>1354</v>
      </c>
    </row>
    <row r="6" spans="2:9" x14ac:dyDescent="0.25">
      <c r="B6" s="550"/>
      <c r="C6" s="550"/>
      <c r="D6" s="138" t="s">
        <v>975</v>
      </c>
      <c r="E6" s="182">
        <v>656</v>
      </c>
      <c r="F6" s="182">
        <v>1140</v>
      </c>
      <c r="G6" s="182">
        <v>1639</v>
      </c>
    </row>
    <row r="7" spans="2:9" ht="30" customHeight="1" x14ac:dyDescent="0.25">
      <c r="B7" s="550"/>
      <c r="C7" s="550"/>
      <c r="D7" s="138" t="s">
        <v>976</v>
      </c>
      <c r="E7" s="182">
        <v>789</v>
      </c>
      <c r="F7" s="182">
        <v>1378</v>
      </c>
      <c r="G7" s="182">
        <v>1971</v>
      </c>
      <c r="I7" s="7" t="s">
        <v>982</v>
      </c>
    </row>
    <row r="8" spans="2:9" x14ac:dyDescent="0.25">
      <c r="B8" s="550"/>
      <c r="C8" s="550"/>
      <c r="D8" s="138" t="s">
        <v>977</v>
      </c>
      <c r="E8" s="182">
        <v>1083</v>
      </c>
      <c r="F8" s="182">
        <v>1895</v>
      </c>
      <c r="G8" s="182">
        <v>2708</v>
      </c>
    </row>
    <row r="9" spans="2:9" x14ac:dyDescent="0.25">
      <c r="B9" s="551"/>
      <c r="C9" s="551"/>
      <c r="D9" s="138" t="s">
        <v>978</v>
      </c>
      <c r="E9" s="138" t="s">
        <v>979</v>
      </c>
      <c r="F9" s="138" t="s">
        <v>980</v>
      </c>
      <c r="G9" s="138" t="s">
        <v>980</v>
      </c>
    </row>
    <row r="11" spans="2:9" ht="75.75" x14ac:dyDescent="0.3">
      <c r="B11" s="155" t="s">
        <v>983</v>
      </c>
      <c r="C11" s="155" t="s">
        <v>984</v>
      </c>
      <c r="D11" s="7" t="s">
        <v>985</v>
      </c>
    </row>
  </sheetData>
  <mergeCells count="3">
    <mergeCell ref="E2:G2"/>
    <mergeCell ref="B3:B9"/>
    <mergeCell ref="C3:C9"/>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dimension ref="B2:G6"/>
  <sheetViews>
    <sheetView workbookViewId="0">
      <selection activeCell="B7" sqref="B7"/>
    </sheetView>
  </sheetViews>
  <sheetFormatPr defaultRowHeight="15" x14ac:dyDescent="0.25"/>
  <cols>
    <col min="2" max="2" width="19.5703125" customWidth="1"/>
    <col min="3" max="3" width="25.140625" customWidth="1"/>
    <col min="4" max="4" width="18.28515625" customWidth="1"/>
    <col min="5" max="5" width="55.42578125" customWidth="1"/>
    <col min="6" max="6" width="23.85546875" customWidth="1"/>
    <col min="7" max="7" width="23.5703125" customWidth="1"/>
  </cols>
  <sheetData>
    <row r="2" spans="2:7" x14ac:dyDescent="0.25">
      <c r="D2" t="s">
        <v>865</v>
      </c>
    </row>
    <row r="3" spans="2:7" ht="106.5" customHeight="1" x14ac:dyDescent="0.3">
      <c r="B3" s="155" t="s">
        <v>986</v>
      </c>
      <c r="C3" s="140" t="s">
        <v>987</v>
      </c>
      <c r="D3" s="141">
        <v>500000</v>
      </c>
      <c r="E3" s="7" t="s">
        <v>988</v>
      </c>
      <c r="F3" s="7" t="s">
        <v>989</v>
      </c>
    </row>
    <row r="4" spans="2:7" ht="136.5" thickBot="1" x14ac:dyDescent="0.35">
      <c r="B4" s="155" t="s">
        <v>990</v>
      </c>
      <c r="C4" s="155" t="s">
        <v>991</v>
      </c>
      <c r="D4" s="141">
        <v>500000</v>
      </c>
      <c r="E4" s="7" t="s">
        <v>993</v>
      </c>
      <c r="G4" s="7" t="s">
        <v>992</v>
      </c>
    </row>
    <row r="5" spans="2:7" ht="50.25" thickBot="1" x14ac:dyDescent="0.35">
      <c r="B5" s="155" t="s">
        <v>994</v>
      </c>
      <c r="C5" s="146" t="s">
        <v>995</v>
      </c>
      <c r="D5" s="141">
        <v>500000</v>
      </c>
    </row>
    <row r="6" spans="2:7" ht="66" x14ac:dyDescent="0.3">
      <c r="B6" s="155" t="s">
        <v>996</v>
      </c>
      <c r="C6" s="155" t="s">
        <v>997</v>
      </c>
    </row>
  </sheetData>
  <pageMargins left="0.7" right="0.7" top="0.75" bottom="0.75" header="0.3" footer="0.3"/>
  <pageSetup orientation="portrait" horizontalDpi="200" verticalDpi="2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FED0-6E14-4C43-9D6D-762E19EBBE6B}">
  <sheetPr codeName="Sheet27">
    <tabColor rgb="FF00B0F0"/>
  </sheetPr>
  <dimension ref="A1:N18"/>
  <sheetViews>
    <sheetView workbookViewId="0">
      <selection activeCell="B32" sqref="B32"/>
    </sheetView>
  </sheetViews>
  <sheetFormatPr defaultRowHeight="15" x14ac:dyDescent="0.25"/>
  <cols>
    <col min="1" max="1" width="10.28515625" bestFit="1" customWidth="1"/>
    <col min="2" max="2" width="51.7109375" customWidth="1"/>
    <col min="3" max="3" width="27.7109375" customWidth="1"/>
    <col min="4" max="4" width="40.7109375" customWidth="1"/>
    <col min="6" max="6" width="18" customWidth="1"/>
    <col min="8" max="8" width="13.140625" bestFit="1" customWidth="1"/>
    <col min="10" max="10" width="13" customWidth="1"/>
    <col min="12" max="12" width="17.85546875" bestFit="1" customWidth="1"/>
    <col min="14" max="14" width="67.140625" bestFit="1" customWidth="1"/>
  </cols>
  <sheetData>
    <row r="1" spans="1:14" ht="45" x14ac:dyDescent="0.25">
      <c r="A1" t="s">
        <v>2463</v>
      </c>
      <c r="B1" s="336" t="s">
        <v>2464</v>
      </c>
      <c r="C1" s="337"/>
      <c r="D1" s="338" t="s">
        <v>2465</v>
      </c>
      <c r="E1" s="339" t="s">
        <v>1275</v>
      </c>
      <c r="F1" s="340" t="s">
        <v>2466</v>
      </c>
      <c r="G1" s="340" t="s">
        <v>1275</v>
      </c>
      <c r="H1" s="341" t="s">
        <v>2467</v>
      </c>
      <c r="I1" s="342" t="s">
        <v>1275</v>
      </c>
      <c r="J1" s="343" t="s">
        <v>2468</v>
      </c>
      <c r="K1" s="344" t="s">
        <v>1275</v>
      </c>
      <c r="L1" s="345" t="s">
        <v>2469</v>
      </c>
      <c r="M1" s="342" t="s">
        <v>1275</v>
      </c>
      <c r="N1" s="346" t="s">
        <v>2470</v>
      </c>
    </row>
    <row r="2" spans="1:14" x14ac:dyDescent="0.25">
      <c r="A2" t="s">
        <v>2463</v>
      </c>
      <c r="B2" s="347" t="s">
        <v>2471</v>
      </c>
      <c r="C2" s="348" t="s">
        <v>23</v>
      </c>
      <c r="D2" s="349"/>
      <c r="E2" s="350">
        <v>144</v>
      </c>
      <c r="F2" s="351" t="s">
        <v>23</v>
      </c>
      <c r="G2" s="352">
        <v>118</v>
      </c>
      <c r="H2" s="353" t="str">
        <f>F2</f>
        <v xml:space="preserve"> </v>
      </c>
      <c r="I2" s="350">
        <v>97</v>
      </c>
      <c r="J2" s="354" t="s">
        <v>23</v>
      </c>
      <c r="K2" s="354">
        <v>319</v>
      </c>
      <c r="L2" s="355" t="s">
        <v>23</v>
      </c>
      <c r="M2" s="350">
        <v>125</v>
      </c>
    </row>
    <row r="3" spans="1:14" x14ac:dyDescent="0.25">
      <c r="A3" t="s">
        <v>2463</v>
      </c>
      <c r="B3" s="356" t="s">
        <v>2472</v>
      </c>
      <c r="C3" s="357" t="s">
        <v>23</v>
      </c>
      <c r="D3" s="358">
        <v>50000</v>
      </c>
      <c r="E3" s="359"/>
      <c r="F3" s="360">
        <f>D3</f>
        <v>50000</v>
      </c>
      <c r="G3" s="361"/>
      <c r="H3" s="362">
        <f>F3</f>
        <v>50000</v>
      </c>
      <c r="I3" s="363"/>
      <c r="J3" s="364">
        <v>100000</v>
      </c>
      <c r="K3" s="365"/>
      <c r="L3" s="366">
        <v>100000</v>
      </c>
      <c r="M3" s="363"/>
    </row>
    <row r="4" spans="1:14" x14ac:dyDescent="0.25">
      <c r="A4" t="s">
        <v>2463</v>
      </c>
      <c r="B4" s="356" t="s">
        <v>2473</v>
      </c>
      <c r="C4" s="337" t="s">
        <v>23</v>
      </c>
      <c r="D4" s="358">
        <v>2500</v>
      </c>
      <c r="E4" s="359"/>
      <c r="F4" s="367">
        <v>5000</v>
      </c>
      <c r="G4" s="368"/>
      <c r="H4" s="369">
        <v>10000</v>
      </c>
      <c r="I4" s="359"/>
      <c r="J4" s="370">
        <v>5000</v>
      </c>
      <c r="K4" s="371"/>
      <c r="L4" s="372">
        <v>10000</v>
      </c>
      <c r="M4" s="359"/>
    </row>
    <row r="5" spans="1:14" ht="30" x14ac:dyDescent="0.25">
      <c r="A5" t="s">
        <v>2463</v>
      </c>
      <c r="B5" s="153"/>
      <c r="C5" s="373" t="s">
        <v>2474</v>
      </c>
      <c r="D5" s="374"/>
      <c r="E5" s="359"/>
      <c r="F5" s="368"/>
      <c r="G5" s="368"/>
      <c r="H5" s="375"/>
      <c r="I5" s="359"/>
      <c r="J5" s="371" t="s">
        <v>23</v>
      </c>
      <c r="K5" s="371"/>
      <c r="L5" s="372"/>
      <c r="M5" s="359"/>
    </row>
    <row r="6" spans="1:14" x14ac:dyDescent="0.25">
      <c r="A6" t="s">
        <v>2463</v>
      </c>
      <c r="B6" s="153"/>
      <c r="C6" s="376" t="s">
        <v>2475</v>
      </c>
      <c r="D6" s="358">
        <v>50000</v>
      </c>
      <c r="E6" s="359"/>
      <c r="F6" s="367">
        <f>D6</f>
        <v>50000</v>
      </c>
      <c r="G6" s="368"/>
      <c r="H6" s="369">
        <f>F6</f>
        <v>50000</v>
      </c>
      <c r="I6" s="359"/>
      <c r="J6" s="370">
        <f>J3</f>
        <v>100000</v>
      </c>
      <c r="K6" s="371"/>
      <c r="L6" s="372">
        <v>100000</v>
      </c>
      <c r="M6" s="359"/>
    </row>
    <row r="7" spans="1:14" x14ac:dyDescent="0.25">
      <c r="A7" t="s">
        <v>2463</v>
      </c>
      <c r="B7" s="153"/>
      <c r="C7" s="376" t="s">
        <v>2476</v>
      </c>
      <c r="D7" s="358">
        <f>D6*0.05</f>
        <v>2500</v>
      </c>
      <c r="E7" s="359"/>
      <c r="F7" s="377">
        <f>F6*0.05</f>
        <v>2500</v>
      </c>
      <c r="G7" s="368"/>
      <c r="H7" s="369">
        <f t="shared" ref="H7:H12" si="0">F7</f>
        <v>2500</v>
      </c>
      <c r="I7" s="359"/>
      <c r="J7" s="378">
        <f>J3*0.05</f>
        <v>5000</v>
      </c>
      <c r="K7" s="371"/>
      <c r="L7" s="372">
        <v>5000</v>
      </c>
      <c r="M7" s="359"/>
    </row>
    <row r="8" spans="1:14" ht="30" x14ac:dyDescent="0.25">
      <c r="A8" t="s">
        <v>2463</v>
      </c>
      <c r="B8" s="153"/>
      <c r="C8" s="376" t="s">
        <v>2477</v>
      </c>
      <c r="D8" s="379" t="s">
        <v>122</v>
      </c>
      <c r="E8" s="359"/>
      <c r="F8" s="380" t="str">
        <f>D8</f>
        <v>Included</v>
      </c>
      <c r="G8" s="368"/>
      <c r="H8" s="369" t="str">
        <f t="shared" si="0"/>
        <v>Included</v>
      </c>
      <c r="I8" s="359"/>
      <c r="J8" s="370" t="str">
        <f>H8</f>
        <v>Included</v>
      </c>
      <c r="K8" s="371"/>
      <c r="L8" s="372" t="s">
        <v>122</v>
      </c>
      <c r="M8" s="359"/>
    </row>
    <row r="9" spans="1:14" x14ac:dyDescent="0.25">
      <c r="A9" t="s">
        <v>2463</v>
      </c>
      <c r="B9" s="153"/>
      <c r="C9" s="376" t="s">
        <v>2478</v>
      </c>
      <c r="D9" s="381">
        <f>D6*0.2</f>
        <v>10000</v>
      </c>
      <c r="E9" s="359"/>
      <c r="F9" s="368">
        <f>F6*0.2</f>
        <v>10000</v>
      </c>
      <c r="G9" s="368"/>
      <c r="H9" s="369">
        <f t="shared" si="0"/>
        <v>10000</v>
      </c>
      <c r="I9" s="359"/>
      <c r="J9" s="382">
        <f>J6*0.2</f>
        <v>20000</v>
      </c>
      <c r="K9" s="371"/>
      <c r="L9" s="372">
        <v>20000</v>
      </c>
      <c r="M9" s="359"/>
    </row>
    <row r="10" spans="1:14" x14ac:dyDescent="0.25">
      <c r="A10" t="s">
        <v>2463</v>
      </c>
      <c r="B10" s="153"/>
      <c r="C10" s="376" t="s">
        <v>2479</v>
      </c>
      <c r="D10" s="381">
        <f>D6*0.1</f>
        <v>5000</v>
      </c>
      <c r="E10" s="359"/>
      <c r="F10" s="383">
        <f>F6*0.1</f>
        <v>5000</v>
      </c>
      <c r="G10" s="383"/>
      <c r="H10" s="384">
        <f t="shared" si="0"/>
        <v>5000</v>
      </c>
      <c r="I10" s="385"/>
      <c r="J10" s="386">
        <f>J6*0.1</f>
        <v>10000</v>
      </c>
      <c r="K10" s="387"/>
      <c r="L10" s="388">
        <v>10000</v>
      </c>
      <c r="M10" s="385"/>
    </row>
    <row r="11" spans="1:14" x14ac:dyDescent="0.25">
      <c r="A11" t="s">
        <v>2463</v>
      </c>
      <c r="B11" s="347" t="s">
        <v>2480</v>
      </c>
      <c r="C11" s="389" t="s">
        <v>23</v>
      </c>
      <c r="D11" s="349" t="s">
        <v>23</v>
      </c>
      <c r="E11" s="350">
        <v>177</v>
      </c>
      <c r="F11" s="351" t="s">
        <v>23</v>
      </c>
      <c r="G11" s="351">
        <v>146</v>
      </c>
      <c r="H11" s="353" t="s">
        <v>23</v>
      </c>
      <c r="I11" s="350">
        <v>138</v>
      </c>
      <c r="J11" s="354" t="str">
        <f>J2</f>
        <v xml:space="preserve"> </v>
      </c>
      <c r="K11" s="354">
        <v>215</v>
      </c>
      <c r="L11" s="355" t="s">
        <v>23</v>
      </c>
      <c r="M11" s="350">
        <v>179</v>
      </c>
      <c r="N11" s="137" t="s">
        <v>2481</v>
      </c>
    </row>
    <row r="12" spans="1:14" x14ac:dyDescent="0.25">
      <c r="A12" t="s">
        <v>2463</v>
      </c>
      <c r="B12" s="336" t="s">
        <v>2482</v>
      </c>
      <c r="C12" s="390" t="s">
        <v>23</v>
      </c>
      <c r="D12" s="358">
        <v>50000</v>
      </c>
      <c r="E12" s="359"/>
      <c r="F12" s="360">
        <f>D12</f>
        <v>50000</v>
      </c>
      <c r="G12" s="361"/>
      <c r="H12" s="362">
        <f t="shared" si="0"/>
        <v>50000</v>
      </c>
      <c r="I12" s="363"/>
      <c r="J12" s="364">
        <f>J3</f>
        <v>100000</v>
      </c>
      <c r="K12" s="365"/>
      <c r="L12" s="366">
        <v>100000</v>
      </c>
      <c r="M12" s="363"/>
    </row>
    <row r="13" spans="1:14" x14ac:dyDescent="0.25">
      <c r="A13" t="s">
        <v>2463</v>
      </c>
      <c r="B13" s="336" t="s">
        <v>2473</v>
      </c>
      <c r="C13" s="336" t="s">
        <v>23</v>
      </c>
      <c r="D13" s="358">
        <v>2500</v>
      </c>
      <c r="E13" s="359"/>
      <c r="F13" s="367">
        <v>5000</v>
      </c>
      <c r="G13" s="368"/>
      <c r="H13" s="369">
        <v>10000</v>
      </c>
      <c r="I13" s="359"/>
      <c r="J13" s="370">
        <f>J4</f>
        <v>5000</v>
      </c>
      <c r="K13" s="371"/>
      <c r="L13" s="372">
        <v>10000</v>
      </c>
      <c r="M13" s="359"/>
    </row>
    <row r="14" spans="1:14" ht="30" x14ac:dyDescent="0.25">
      <c r="A14" t="s">
        <v>2463</v>
      </c>
      <c r="B14" s="336"/>
      <c r="C14" s="376" t="s">
        <v>2483</v>
      </c>
      <c r="D14" s="391" t="s">
        <v>122</v>
      </c>
      <c r="E14" s="359"/>
      <c r="F14" s="383"/>
      <c r="G14" s="368"/>
      <c r="H14" s="359"/>
      <c r="I14" s="359"/>
      <c r="J14" s="371"/>
      <c r="K14" s="371"/>
      <c r="L14" s="359"/>
      <c r="M14" s="359"/>
    </row>
    <row r="15" spans="1:14" x14ac:dyDescent="0.25">
      <c r="A15" t="s">
        <v>2463</v>
      </c>
      <c r="B15" s="356" t="s">
        <v>2484</v>
      </c>
      <c r="C15" s="336"/>
      <c r="D15" s="336" t="s">
        <v>23</v>
      </c>
      <c r="N15" s="137" t="s">
        <v>2485</v>
      </c>
    </row>
    <row r="18" spans="5:13" x14ac:dyDescent="0.25">
      <c r="E18" s="141">
        <f>SUM(E2:E14)</f>
        <v>321</v>
      </c>
      <c r="G18" s="141">
        <f>SUM(G2:G14)</f>
        <v>264</v>
      </c>
      <c r="I18" s="141">
        <f>SUM(I2:I14)</f>
        <v>235</v>
      </c>
      <c r="K18" s="141">
        <f>SUM(K2:K14)</f>
        <v>534</v>
      </c>
      <c r="M18" s="141">
        <f>SUM(M2:M14)</f>
        <v>304</v>
      </c>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0D075-2154-40C0-95D1-C8F71A239AC1}">
  <sheetPr codeName="Sheet28">
    <tabColor rgb="FF00B0F0"/>
  </sheetPr>
  <dimension ref="A1:L22"/>
  <sheetViews>
    <sheetView workbookViewId="0">
      <selection activeCell="B15" sqref="B15"/>
    </sheetView>
  </sheetViews>
  <sheetFormatPr defaultRowHeight="15" x14ac:dyDescent="0.25"/>
  <cols>
    <col min="1" max="1" width="30.42578125" customWidth="1"/>
    <col min="2" max="2" width="60.42578125" bestFit="1" customWidth="1"/>
    <col min="3" max="3" width="54.5703125" bestFit="1" customWidth="1"/>
    <col min="4" max="4" width="12.42578125" customWidth="1"/>
    <col min="6" max="6" width="10.5703125" customWidth="1"/>
    <col min="8" max="8" width="11.5703125" customWidth="1"/>
    <col min="10" max="10" width="11.5703125" customWidth="1"/>
    <col min="12" max="12" width="67.140625" bestFit="1" customWidth="1"/>
  </cols>
  <sheetData>
    <row r="1" spans="1:12" ht="60" x14ac:dyDescent="0.25">
      <c r="D1" s="392" t="s">
        <v>2486</v>
      </c>
      <c r="E1" s="342" t="s">
        <v>1275</v>
      </c>
      <c r="F1" s="343" t="s">
        <v>2465</v>
      </c>
      <c r="G1" s="344" t="s">
        <v>1275</v>
      </c>
      <c r="H1" s="345" t="s">
        <v>2466</v>
      </c>
      <c r="I1" s="342" t="s">
        <v>1275</v>
      </c>
      <c r="J1" s="345" t="s">
        <v>2467</v>
      </c>
      <c r="K1" s="342" t="s">
        <v>1275</v>
      </c>
      <c r="L1" s="393" t="s">
        <v>2470</v>
      </c>
    </row>
    <row r="2" spans="1:12" x14ac:dyDescent="0.25">
      <c r="A2" s="138" t="s">
        <v>1208</v>
      </c>
      <c r="B2" s="138" t="s">
        <v>2487</v>
      </c>
      <c r="C2" s="138" t="s">
        <v>23</v>
      </c>
      <c r="D2" s="138" t="s">
        <v>865</v>
      </c>
      <c r="E2" s="138" t="s">
        <v>1275</v>
      </c>
      <c r="F2" s="138" t="s">
        <v>865</v>
      </c>
      <c r="G2" s="138" t="s">
        <v>1275</v>
      </c>
      <c r="H2" s="138" t="s">
        <v>865</v>
      </c>
      <c r="I2" s="138" t="s">
        <v>1275</v>
      </c>
      <c r="J2" s="138" t="s">
        <v>865</v>
      </c>
      <c r="K2" s="138" t="s">
        <v>1275</v>
      </c>
    </row>
    <row r="3" spans="1:12" x14ac:dyDescent="0.25">
      <c r="A3" s="5" t="s">
        <v>1208</v>
      </c>
      <c r="B3" s="5" t="s">
        <v>2488</v>
      </c>
      <c r="C3" s="5"/>
      <c r="D3" s="5"/>
      <c r="E3" s="394">
        <v>82</v>
      </c>
      <c r="F3" s="395">
        <v>50000</v>
      </c>
      <c r="G3" s="394">
        <v>81</v>
      </c>
      <c r="H3" s="5"/>
      <c r="I3" s="394">
        <v>80</v>
      </c>
      <c r="J3" s="5"/>
      <c r="K3" s="394">
        <v>78</v>
      </c>
    </row>
    <row r="4" spans="1:12" x14ac:dyDescent="0.25">
      <c r="A4" s="5" t="s">
        <v>1208</v>
      </c>
      <c r="B4" s="5" t="s">
        <v>2489</v>
      </c>
      <c r="C4" s="5"/>
      <c r="D4" s="395">
        <v>50000</v>
      </c>
      <c r="E4" s="5"/>
      <c r="F4" s="395">
        <v>50000</v>
      </c>
      <c r="G4" s="5"/>
      <c r="H4" s="395">
        <v>50000</v>
      </c>
      <c r="I4" s="5"/>
      <c r="J4" s="395">
        <v>50000</v>
      </c>
      <c r="K4" s="5"/>
    </row>
    <row r="5" spans="1:12" x14ac:dyDescent="0.25">
      <c r="A5" s="5" t="s">
        <v>1208</v>
      </c>
      <c r="B5" s="5" t="s">
        <v>2490</v>
      </c>
      <c r="C5" s="5" t="s">
        <v>2491</v>
      </c>
      <c r="D5" s="351">
        <v>1000</v>
      </c>
      <c r="E5" s="5"/>
      <c r="F5" s="351">
        <v>2500</v>
      </c>
      <c r="G5" s="5"/>
      <c r="H5" s="351">
        <v>5000</v>
      </c>
      <c r="I5" s="5"/>
      <c r="J5" s="351">
        <v>10000</v>
      </c>
      <c r="K5" s="5"/>
    </row>
    <row r="6" spans="1:12" x14ac:dyDescent="0.25">
      <c r="A6" t="s">
        <v>1208</v>
      </c>
      <c r="B6" s="153"/>
      <c r="C6" s="396" t="s">
        <v>2492</v>
      </c>
      <c r="F6" s="138"/>
      <c r="H6" s="138"/>
      <c r="J6" s="138"/>
    </row>
    <row r="7" spans="1:12" x14ac:dyDescent="0.25">
      <c r="A7" t="s">
        <v>1208</v>
      </c>
      <c r="B7" s="153"/>
      <c r="C7" s="138" t="s">
        <v>2493</v>
      </c>
      <c r="D7" s="182">
        <f>D4</f>
        <v>50000</v>
      </c>
      <c r="E7" s="141"/>
      <c r="F7" s="182">
        <f>F4</f>
        <v>50000</v>
      </c>
      <c r="G7" s="141"/>
      <c r="H7" s="182">
        <f>H4</f>
        <v>50000</v>
      </c>
      <c r="I7" s="141"/>
      <c r="J7" s="182">
        <f>J4</f>
        <v>50000</v>
      </c>
    </row>
    <row r="8" spans="1:12" x14ac:dyDescent="0.25">
      <c r="A8" t="s">
        <v>1208</v>
      </c>
      <c r="B8" s="153"/>
      <c r="C8" s="138" t="s">
        <v>2494</v>
      </c>
      <c r="D8" s="182">
        <f>D4*0.1</f>
        <v>5000</v>
      </c>
      <c r="E8" s="141"/>
      <c r="F8" s="182">
        <f>F4*0.1</f>
        <v>5000</v>
      </c>
      <c r="G8" s="141"/>
      <c r="H8" s="182">
        <f>H4*0.1</f>
        <v>5000</v>
      </c>
      <c r="I8" s="141"/>
      <c r="J8" s="182">
        <f>J4*0.1</f>
        <v>5000</v>
      </c>
    </row>
    <row r="9" spans="1:12" x14ac:dyDescent="0.25">
      <c r="A9" t="s">
        <v>1208</v>
      </c>
      <c r="B9" s="153"/>
      <c r="C9" s="138" t="s">
        <v>2495</v>
      </c>
      <c r="D9" s="182">
        <f>D4*0.1</f>
        <v>5000</v>
      </c>
      <c r="E9" s="141"/>
      <c r="F9" s="182">
        <f>F4*0.1</f>
        <v>5000</v>
      </c>
      <c r="G9" s="141"/>
      <c r="H9" s="182">
        <f>H4*0.1</f>
        <v>5000</v>
      </c>
      <c r="I9" s="141"/>
      <c r="J9" s="182">
        <f>J4*0.1</f>
        <v>5000</v>
      </c>
    </row>
    <row r="10" spans="1:12" x14ac:dyDescent="0.25">
      <c r="A10" t="s">
        <v>1208</v>
      </c>
      <c r="B10" s="153"/>
      <c r="C10" s="138" t="s">
        <v>2496</v>
      </c>
      <c r="D10" s="138" t="s">
        <v>122</v>
      </c>
      <c r="F10" s="138" t="s">
        <v>122</v>
      </c>
      <c r="H10" s="138" t="s">
        <v>122</v>
      </c>
      <c r="J10" s="138" t="s">
        <v>122</v>
      </c>
    </row>
    <row r="11" spans="1:12" x14ac:dyDescent="0.25">
      <c r="A11" t="s">
        <v>1208</v>
      </c>
      <c r="B11" s="153"/>
      <c r="C11" s="138" t="s">
        <v>2497</v>
      </c>
      <c r="D11" s="138" t="s">
        <v>122</v>
      </c>
      <c r="F11" s="138" t="s">
        <v>122</v>
      </c>
      <c r="H11" s="138" t="s">
        <v>122</v>
      </c>
      <c r="J11" s="138" t="s">
        <v>122</v>
      </c>
      <c r="L11" s="5"/>
    </row>
    <row r="12" spans="1:12" x14ac:dyDescent="0.25">
      <c r="A12" t="s">
        <v>1208</v>
      </c>
      <c r="B12" s="153"/>
      <c r="C12" s="397" t="s">
        <v>2498</v>
      </c>
      <c r="D12" s="398">
        <f>D4*0.1</f>
        <v>5000</v>
      </c>
      <c r="E12" s="141"/>
      <c r="F12" s="398">
        <f>F4*0.1</f>
        <v>5000</v>
      </c>
      <c r="G12" s="141"/>
      <c r="H12" s="398">
        <f>H4*0.1</f>
        <v>5000</v>
      </c>
      <c r="I12" s="141"/>
      <c r="J12" s="398">
        <f>J4*0.1</f>
        <v>5000</v>
      </c>
    </row>
    <row r="13" spans="1:12" ht="25.5" x14ac:dyDescent="0.25">
      <c r="A13" s="138" t="s">
        <v>1208</v>
      </c>
      <c r="B13" s="399" t="s">
        <v>2499</v>
      </c>
      <c r="C13" s="138"/>
      <c r="D13" s="395">
        <f>D4</f>
        <v>50000</v>
      </c>
      <c r="E13" s="395">
        <f>114-E3</f>
        <v>32</v>
      </c>
      <c r="F13" s="395">
        <f>F4</f>
        <v>50000</v>
      </c>
      <c r="G13" s="395">
        <f>113-G3</f>
        <v>32</v>
      </c>
      <c r="H13" s="395">
        <f>H4</f>
        <v>50000</v>
      </c>
      <c r="I13" s="395">
        <f>111-I3</f>
        <v>31</v>
      </c>
      <c r="J13" s="395">
        <f>J4</f>
        <v>50000</v>
      </c>
      <c r="K13" s="395">
        <f>108-K3</f>
        <v>30</v>
      </c>
      <c r="L13" s="400" t="s">
        <v>2500</v>
      </c>
    </row>
    <row r="15" spans="1:12" x14ac:dyDescent="0.25">
      <c r="B15" s="138" t="s">
        <v>2501</v>
      </c>
      <c r="D15" s="367">
        <v>1000</v>
      </c>
      <c r="F15" s="367">
        <v>2500</v>
      </c>
      <c r="H15" s="367">
        <v>5000</v>
      </c>
      <c r="J15" s="367">
        <v>10000</v>
      </c>
      <c r="L15" s="5"/>
    </row>
    <row r="16" spans="1:12" x14ac:dyDescent="0.25">
      <c r="C16" s="396" t="s">
        <v>2502</v>
      </c>
    </row>
    <row r="17" spans="3:12" x14ac:dyDescent="0.25">
      <c r="C17" s="138" t="s">
        <v>2503</v>
      </c>
      <c r="D17" s="182">
        <f>D4</f>
        <v>50000</v>
      </c>
      <c r="E17" s="138"/>
      <c r="F17" s="182">
        <f>F4</f>
        <v>50000</v>
      </c>
      <c r="G17" s="138"/>
      <c r="H17" s="182">
        <f>H4</f>
        <v>50000</v>
      </c>
      <c r="I17" s="138"/>
      <c r="J17" s="182">
        <f>J4</f>
        <v>50000</v>
      </c>
      <c r="L17" s="5"/>
    </row>
    <row r="22" spans="3:12" x14ac:dyDescent="0.25">
      <c r="E22" s="141">
        <f>SUM(E3:E17)</f>
        <v>114</v>
      </c>
      <c r="G22" s="141">
        <f>SUM(G3:G17)</f>
        <v>113</v>
      </c>
      <c r="I22" s="141">
        <f>SUM(I3:I17)</f>
        <v>111</v>
      </c>
      <c r="K22" s="141">
        <f>SUM(K3:K17)</f>
        <v>108</v>
      </c>
    </row>
  </sheetData>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dimension ref="A1:G5"/>
  <sheetViews>
    <sheetView workbookViewId="0">
      <selection activeCell="G9" sqref="G9"/>
    </sheetView>
  </sheetViews>
  <sheetFormatPr defaultRowHeight="15" x14ac:dyDescent="0.25"/>
  <cols>
    <col min="1" max="1" width="27.7109375" customWidth="1"/>
    <col min="2" max="2" width="26.7109375" bestFit="1" customWidth="1"/>
    <col min="3" max="3" width="21.85546875" customWidth="1"/>
    <col min="4" max="4" width="20.42578125" customWidth="1"/>
    <col min="5" max="5" width="19.140625" bestFit="1" customWidth="1"/>
    <col min="6" max="6" width="51.5703125" bestFit="1" customWidth="1"/>
    <col min="7" max="7" width="21.42578125" customWidth="1"/>
  </cols>
  <sheetData>
    <row r="1" spans="1:7" x14ac:dyDescent="0.25">
      <c r="A1" t="s">
        <v>402</v>
      </c>
      <c r="C1" t="s">
        <v>283</v>
      </c>
      <c r="D1" t="s">
        <v>416</v>
      </c>
      <c r="E1" t="s">
        <v>417</v>
      </c>
      <c r="F1" t="s">
        <v>418</v>
      </c>
      <c r="G1" t="s">
        <v>420</v>
      </c>
    </row>
    <row r="2" spans="1:7" x14ac:dyDescent="0.25">
      <c r="A2" t="s">
        <v>411</v>
      </c>
      <c r="B2">
        <v>0.6</v>
      </c>
      <c r="C2" s="100">
        <v>1000</v>
      </c>
      <c r="D2" s="100">
        <v>2500</v>
      </c>
      <c r="E2">
        <v>0.12</v>
      </c>
      <c r="F2" t="s">
        <v>419</v>
      </c>
    </row>
    <row r="3" spans="1:7" x14ac:dyDescent="0.25">
      <c r="A3" t="s">
        <v>412</v>
      </c>
      <c r="B3">
        <v>0.6</v>
      </c>
      <c r="C3" s="100">
        <v>1000</v>
      </c>
      <c r="D3" s="100">
        <v>5000</v>
      </c>
      <c r="E3">
        <f>B3-(B3*0.84)</f>
        <v>9.5999999999999974E-2</v>
      </c>
      <c r="F3" t="s">
        <v>419</v>
      </c>
    </row>
    <row r="4" spans="1:7" x14ac:dyDescent="0.25">
      <c r="A4" t="s">
        <v>413</v>
      </c>
      <c r="B4">
        <v>0.6</v>
      </c>
      <c r="C4" s="100">
        <v>1000</v>
      </c>
      <c r="F4" t="s">
        <v>419</v>
      </c>
    </row>
    <row r="5" spans="1:7" x14ac:dyDescent="0.25">
      <c r="A5" t="s">
        <v>414</v>
      </c>
      <c r="B5" t="s">
        <v>415</v>
      </c>
      <c r="C5" s="56">
        <v>2500</v>
      </c>
      <c r="F5" t="s">
        <v>419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vt:i4>
      </vt:variant>
    </vt:vector>
  </HeadingPairs>
  <TitlesOfParts>
    <vt:vector size="32" baseType="lpstr">
      <vt:lpstr>TableOfContents</vt:lpstr>
      <vt:lpstr>List</vt:lpstr>
      <vt:lpstr>Operations</vt:lpstr>
      <vt:lpstr>CMIG_NoWriteZones</vt:lpstr>
      <vt:lpstr>Test Sheet</vt:lpstr>
      <vt:lpstr>Map</vt:lpstr>
      <vt:lpstr>Calculator</vt:lpstr>
      <vt:lpstr>13.CommercialPKG - Factors</vt:lpstr>
      <vt:lpstr>11.OperationClass - Factors</vt:lpstr>
      <vt:lpstr>Drops</vt:lpstr>
      <vt:lpstr>OpsSearch</vt:lpstr>
      <vt:lpstr>1.CommPkgAptRetOffChurRealty</vt:lpstr>
      <vt:lpstr>2.ContractorsPackages</vt:lpstr>
      <vt:lpstr>ChargesAdditivemultiplicative</vt:lpstr>
      <vt:lpstr>3.Home Based Business</vt:lpstr>
      <vt:lpstr>4.CommMultiplicativeDiscSur</vt:lpstr>
      <vt:lpstr>5.CommBLDGCNTSRates - Algo_Rate</vt:lpstr>
      <vt:lpstr>6.CommFloaters - Algo_Rates</vt:lpstr>
      <vt:lpstr>7.AddtlCoverage - Algo_Rates</vt:lpstr>
      <vt:lpstr>8.CommercialLiabExt - Algo_Rate</vt:lpstr>
      <vt:lpstr>9.CommIncomeExpense - Algo_Rate</vt:lpstr>
      <vt:lpstr>CyberOneDataCompromise</vt:lpstr>
      <vt:lpstr>10.FloodEarthquake - Factors</vt:lpstr>
      <vt:lpstr>12.CommCrime - Flat Factors</vt:lpstr>
      <vt:lpstr>14.CommAdditiveDisc- Factors</vt:lpstr>
      <vt:lpstr>ProfessionE&amp;O</vt:lpstr>
      <vt:lpstr>Pollution</vt:lpstr>
      <vt:lpstr>CyberOneLimts</vt:lpstr>
      <vt:lpstr>DataCompromise</vt:lpstr>
      <vt:lpstr>BuildersRiskRates</vt:lpstr>
      <vt:lpstr>List!_Toc31875451</vt:lpstr>
      <vt:lpstr>List!_Toc31875455</vt:lpstr>
    </vt:vector>
  </TitlesOfParts>
  <Company>The Commonwell Mutual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Jackie Murison</dc:creator>
  <cp:lastModifiedBy>Nick Kidd</cp:lastModifiedBy>
  <dcterms:created xsi:type="dcterms:W3CDTF">2018-02-12T18:48:41Z</dcterms:created>
  <dcterms:modified xsi:type="dcterms:W3CDTF">2022-06-12T15:45:09Z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1cc0e88c-61c4-468a-8d17-577b7812345f</vt:lpwstr>
  </property>
</Properties>
</file>